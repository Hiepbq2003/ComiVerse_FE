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cope" sheetId="2" r:id="rId6"/>
    <sheet state="visible" name="WBS" sheetId="3" r:id="rId7"/>
    <sheet state="visible" name="Defects" sheetId="4" r:id="rId8"/>
    <sheet state="visible" name="Issues" sheetId="5" r:id="rId9"/>
    <sheet state="visible" name="Risks" sheetId="6" r:id="rId10"/>
    <sheet state="visible" name="ChangeLog" sheetId="7" r:id="rId11"/>
  </sheets>
  <definedNames/>
  <calcPr/>
</workbook>
</file>

<file path=xl/sharedStrings.xml><?xml version="1.0" encoding="utf-8"?>
<sst xmlns="http://schemas.openxmlformats.org/spreadsheetml/2006/main" count="1947" uniqueCount="975">
  <si>
    <t>WBS — Work Breakdown Structure (Function / Screen Level)</t>
  </si>
  <si>
    <t>Scope — Project Deliverables &amp; Milestones</t>
  </si>
  <si>
    <t>Open Defects</t>
  </si>
  <si>
    <t>Done / Closed</t>
  </si>
  <si>
    <t>In Progress</t>
  </si>
  <si>
    <t>Not Started</t>
  </si>
  <si>
    <t>Defects — Bug &amp; Defect Tracking Log</t>
  </si>
  <si>
    <t>#</t>
  </si>
  <si>
    <t>Function / Screen</t>
  </si>
  <si>
    <t>Type</t>
  </si>
  <si>
    <t>Feature Group</t>
  </si>
  <si>
    <t>Sub-Feature</t>
  </si>
  <si>
    <t>Description</t>
  </si>
  <si>
    <t>Complexity</t>
  </si>
  <si>
    <t>Work Package / Deliverable</t>
  </si>
  <si>
    <t>Est. Effort (pts)</t>
  </si>
  <si>
    <t>Planned Iteration</t>
  </si>
  <si>
    <t>In Charge</t>
  </si>
  <si>
    <t>Actual Effort (pts)</t>
  </si>
  <si>
    <t>Est. Effort (pds)</t>
  </si>
  <si>
    <t>Status</t>
  </si>
  <si>
    <t>Notes</t>
  </si>
  <si>
    <t>Deadline</t>
  </si>
  <si>
    <t>% Complete</t>
  </si>
  <si>
    <t>System &amp; UI/UX Design</t>
  </si>
  <si>
    <t>Actual Effort (pds)</t>
  </si>
  <si>
    <t>Document</t>
  </si>
  <si>
    <t>Dependency</t>
  </si>
  <si>
    <t>System Architecture</t>
  </si>
  <si>
    <t>ERD, API Specs, Figma UI</t>
  </si>
  <si>
    <t>Approved By</t>
  </si>
  <si>
    <t>Design database schema, system architecture, and overall Figma UI/UX.</t>
  </si>
  <si>
    <t>Date Found</t>
  </si>
  <si>
    <t>Defect Description</t>
  </si>
  <si>
    <t>Steps to Reproduce</t>
  </si>
  <si>
    <t xml:space="preserve">  Stage 1: Project Initiating (Week 1)</t>
  </si>
  <si>
    <t>Expected Result</t>
  </si>
  <si>
    <t>Actual Result</t>
  </si>
  <si>
    <t>Severity</t>
  </si>
  <si>
    <t>Complex</t>
  </si>
  <si>
    <t>Priority</t>
  </si>
  <si>
    <t>Activity</t>
  </si>
  <si>
    <t>Product</t>
  </si>
  <si>
    <t>Product Details</t>
  </si>
  <si>
    <t>Assigned By</t>
  </si>
  <si>
    <t>Assigned To</t>
  </si>
  <si>
    <t>Fixed Date</t>
  </si>
  <si>
    <t>Fixed In Version</t>
  </si>
  <si>
    <t>Updated</t>
  </si>
  <si>
    <t>Iteration 1</t>
  </si>
  <si>
    <t>Bui Quang Hiep</t>
  </si>
  <si>
    <t>DEF-001</t>
  </si>
  <si>
    <t>Done</t>
  </si>
  <si>
    <t>Hiep leads backend arch, Hanh leads UI.</t>
  </si>
  <si>
    <t>Authentication Flows</t>
  </si>
  <si>
    <t>Screen</t>
  </si>
  <si>
    <t>Authentication</t>
  </si>
  <si>
    <t>UC-01, UC-02, UC-32</t>
  </si>
  <si>
    <t>1.1</t>
  </si>
  <si>
    <t>Admin can ban another Admin account</t>
  </si>
  <si>
    <t>Run AdminUserServiceTest.banUser with an Admin ID</t>
  </si>
  <si>
    <t>User login, logout, and new account registration flows.</t>
  </si>
  <si>
    <t>Throws CustomException(FORBIDDEN)</t>
  </si>
  <si>
    <t>Medium</t>
  </si>
  <si>
    <t>Function succeeds, Admin is banned</t>
  </si>
  <si>
    <t>Supports Google OAuth2 &amp; stateless JWT.</t>
  </si>
  <si>
    <t>Account &amp; Security</t>
  </si>
  <si>
    <t>Report 1 — Project Introduction</t>
  </si>
  <si>
    <t>UC-03, UC-04, UC-45</t>
  </si>
  <si>
    <t>Manage profile, email OTP verification, and password reset.</t>
  </si>
  <si>
    <t>Critical</t>
  </si>
  <si>
    <t>Uses SendGrid/Resend for OTP delivery.</t>
  </si>
  <si>
    <t>High</t>
  </si>
  <si>
    <t>Comic Discovery &amp; Library</t>
  </si>
  <si>
    <t>Comic Reader</t>
  </si>
  <si>
    <t>UC-05, UC-06, UC-11, UC-12, UC-13, UC-14</t>
  </si>
  <si>
    <t>Search, filter by genres, manage bookmarks, history, and personalized feed.</t>
  </si>
  <si>
    <t>Unit Test</t>
  </si>
  <si>
    <t>ComiVerse API</t>
  </si>
  <si>
    <t>AdminUserService</t>
  </si>
  <si>
    <t>Nguyen Xuan Hanh</t>
  </si>
  <si>
    <t>Bùi Quang Hiệp</t>
  </si>
  <si>
    <t>All Members</t>
  </si>
  <si>
    <t>Chu Tuấn Ngọc</t>
  </si>
  <si>
    <t>Optimized grid UI &amp; cursor pagination.</t>
  </si>
  <si>
    <t>Comic Reader Engine</t>
  </si>
  <si>
    <t>UC-07, UC-08, UC-09, UC-10</t>
  </si>
  <si>
    <t>Render chapter images, switch reading modes, translations, and sync progress.</t>
  </si>
  <si>
    <t>Includes Offline Download limits &amp; Redis sync.</t>
  </si>
  <si>
    <t>Week 1</t>
  </si>
  <si>
    <t>Community &amp; Forum</t>
  </si>
  <si>
    <t>Community</t>
  </si>
  <si>
    <t>UC-20, UC-21, UC-22, UC-23</t>
  </si>
  <si>
    <t>Star ratings, comic comments, forum threads, and replies.</t>
  </si>
  <si>
    <t>Open Issues</t>
  </si>
  <si>
    <t>Iteration 2</t>
  </si>
  <si>
    <t>High/Critical Risks</t>
  </si>
  <si>
    <t>Fixed</t>
  </si>
  <si>
    <t>Implements 2-level nested comment hierarchy.</t>
  </si>
  <si>
    <t>Real-time Public Chat</t>
  </si>
  <si>
    <t>UC-39</t>
  </si>
  <si>
    <t>Send messages in the global World Chat room.</t>
  </si>
  <si>
    <t>Iteration 3</t>
  </si>
  <si>
    <t>Powered by STOMP over WebSockets.</t>
  </si>
  <si>
    <t>Author Publishing Pipeline</t>
  </si>
  <si>
    <t>v1.0.0</t>
  </si>
  <si>
    <t>Author System</t>
  </si>
  <si>
    <t>UC-17, UC-18, UC-54</t>
  </si>
  <si>
    <t>Create comic series, upload/replace chapters, and submit moderation appeals.</t>
  </si>
  <si>
    <t>Added role check before ban</t>
  </si>
  <si>
    <t>Dang Ngoc Thanh</t>
  </si>
  <si>
    <t>DEF-002</t>
  </si>
  <si>
    <t>Handles heavy Cloudinary ZIP folder uploads.</t>
  </si>
  <si>
    <t>Creator Analytics</t>
  </si>
  <si>
    <t>Dashboard &amp; Reporting</t>
  </si>
  <si>
    <t>UC-33, UC-34, UC-35</t>
  </si>
  <si>
    <t>Performance charts, revenue stats, and CSV data export.</t>
  </si>
  <si>
    <t>Iteration 4</t>
  </si>
  <si>
    <t>Aggregates daily views/follows via Chart.js.</t>
  </si>
  <si>
    <t>Translation Workspace</t>
  </si>
  <si>
    <t>Translator System</t>
  </si>
  <si>
    <t>UC-15, UC-41, UC-47, UC-56</t>
  </si>
  <si>
    <t>Project configuration, team roster, glossary management, and task handover.</t>
  </si>
  <si>
    <t>NullPointerException when creating comic without cover image</t>
  </si>
  <si>
    <t>Bui Viet Hung</t>
  </si>
  <si>
    <t>Run AuthorComicServiceTest.createComic without cover image</t>
  </si>
  <si>
    <t>Enforces strict Project Leader RBAC.</t>
  </si>
  <si>
    <t>Throws CustomException(BAD_REQUEST)</t>
  </si>
  <si>
    <t>Throws NullPointerException</t>
  </si>
  <si>
    <t>Creator Cloud Studio</t>
  </si>
  <si>
    <t>UC-16</t>
  </si>
  <si>
    <t>Drag-and-drop text mapping interface for chapter translation.</t>
  </si>
  <si>
    <t>Integrates Gemini OCR for glossary suggestions.</t>
  </si>
  <si>
    <t>Translation Workflow</t>
  </si>
  <si>
    <t>AuthorComicService</t>
  </si>
  <si>
    <t>UC-52, UC-53</t>
  </si>
  <si>
    <t>Translators submit work, Leaders review to trigger automated revenue split.</t>
  </si>
  <si>
    <t>Lê Thị Tú Kiên</t>
  </si>
  <si>
    <t>Scope Milestone Status</t>
  </si>
  <si>
    <t>Linked to the internal payout calculation engine.</t>
  </si>
  <si>
    <t>Team Chat &amp; Notices</t>
  </si>
  <si>
    <t xml:space="preserve">  Stage 2: Project Planning &amp; Initial Requirements (Weeks 2–3)</t>
  </si>
  <si>
    <t>UC-40, UC-55</t>
  </si>
  <si>
    <t>Internal project WebSockets chat and pinned team announcements.</t>
  </si>
  <si>
    <t>Stage</t>
  </si>
  <si>
    <t>Key Deliverable</t>
  </si>
  <si>
    <t>Added missing validation</t>
  </si>
  <si>
    <t>DEF-003</t>
  </si>
  <si>
    <t>Registration creates duplicate email if not verified</t>
  </si>
  <si>
    <t>Stage 1</t>
  </si>
  <si>
    <t>Run AuthServiceTest.register with an existing unverified email</t>
  </si>
  <si>
    <t>Throws CustomException(CONFLICT)</t>
  </si>
  <si>
    <t>New account overwrites old account</t>
  </si>
  <si>
    <t>Project-scoped private messaging.</t>
  </si>
  <si>
    <t>Translator Onboarding</t>
  </si>
  <si>
    <t>UC-49, UC-50, UC-51</t>
  </si>
  <si>
    <t>Apply for role, request to join teams, and claim projects from Job Pool.</t>
  </si>
  <si>
    <t>Report 1 (Project Introduction)</t>
  </si>
  <si>
    <t>AuthService</t>
  </si>
  <si>
    <t>2.1</t>
  </si>
  <si>
    <t>Đặng Ngọc Thành</t>
  </si>
  <si>
    <t>Application triggers moderation review queue.</t>
  </si>
  <si>
    <t>Nguyễn Xuân Hanh</t>
  </si>
  <si>
    <t>Report 3 — SRS v0.9 (Overall Requirements)</t>
  </si>
  <si>
    <t>Premium Payment</t>
  </si>
  <si>
    <t>Revenue Payment</t>
  </si>
  <si>
    <t>UC-29, UC-31</t>
  </si>
  <si>
    <t>Stripe checkout for premium chapters and transaction history viewer.</t>
  </si>
  <si>
    <t>Added existsByEmail check</t>
  </si>
  <si>
    <t>Week 2</t>
  </si>
  <si>
    <t>Complete</t>
  </si>
  <si>
    <t>DEF-004</t>
  </si>
  <si>
    <t>Reset password saves password as plain text</t>
  </si>
  <si>
    <t>Run AuthServiceTest.resetPassword</t>
  </si>
  <si>
    <t>Secure Stripe Webhook signature handling.</t>
  </si>
  <si>
    <t>Password is encrypted by BCrypt</t>
  </si>
  <si>
    <t>Stage 2</t>
  </si>
  <si>
    <t>Password saved as plain text in DB</t>
  </si>
  <si>
    <t>Creator Payout Setup</t>
  </si>
  <si>
    <t>UC-30, UC-57</t>
  </si>
  <si>
    <t>Connect Stripe Express accounts and submit revenue withdrawal requests.</t>
  </si>
  <si>
    <t>SRS v0.9 + Project Management Plan</t>
  </si>
  <si>
    <t>Handles external Stripe Connect onboarding.</t>
  </si>
  <si>
    <t>Week 3</t>
  </si>
  <si>
    <t>Publish Moderation</t>
  </si>
  <si>
    <t>Moderation</t>
  </si>
  <si>
    <t>UC-19</t>
  </si>
  <si>
    <t>Fixed password encoder</t>
  </si>
  <si>
    <t>Moderators approve/reject submitted comics and chapters with feedback.</t>
  </si>
  <si>
    <t>DEF-005</t>
  </si>
  <si>
    <t>Extraction error when chapter folders are nested</t>
  </si>
  <si>
    <t>Stage 3</t>
  </si>
  <si>
    <t>Run AuthorComicPackageUploadServiceTest with nested folders</t>
  </si>
  <si>
    <t>SDS v1.0 + Test Planning</t>
  </si>
  <si>
    <t>Throws CustomException(INVALID_ARCHIVE)</t>
  </si>
  <si>
    <t>Week 5</t>
  </si>
  <si>
    <t>System hangs or throws IOException</t>
  </si>
  <si>
    <t>2.2</t>
  </si>
  <si>
    <t>Stage 4</t>
  </si>
  <si>
    <t>Enforces Content Moderation Gate policies.</t>
  </si>
  <si>
    <t>Implementation Iterations 1–3</t>
  </si>
  <si>
    <t>Community Audit</t>
  </si>
  <si>
    <t>Week 11</t>
  </si>
  <si>
    <t>AuthorUploadService</t>
  </si>
  <si>
    <t>UC-24, UC-46</t>
  </si>
  <si>
    <t>Bùi Việt Hùng</t>
  </si>
  <si>
    <t>Lock/hide forum posts, monitor live chat, and update banned keywords.</t>
  </si>
  <si>
    <t>Stage 5</t>
  </si>
  <si>
    <t>System Test Report + User Guides + UAT</t>
  </si>
  <si>
    <t>Vertical Prototypes (Code Demo)</t>
  </si>
  <si>
    <t>Week 13</t>
  </si>
  <si>
    <t>Flatten nested directories</t>
  </si>
  <si>
    <t>Includes advanced multi-pass profanity filter.</t>
  </si>
  <si>
    <t>DEF-006</t>
  </si>
  <si>
    <t>Reports &amp; Taxonomy</t>
  </si>
  <si>
    <t>Quang Hiệp</t>
  </si>
  <si>
    <t>Uploading duplicate chapter number overwrites old data</t>
  </si>
  <si>
    <t>Run AuthorComicPackageUploadServiceTest with existing chapter number</t>
  </si>
  <si>
    <t>UC-26, UC-27, UC-36</t>
  </si>
  <si>
    <t>Handle user violation tickets and manage catalog tags/genres.</t>
  </si>
  <si>
    <t>Stage 6</t>
  </si>
  <si>
    <t>New chapter silently overwrites old chapter</t>
  </si>
  <si>
    <t>Resolves user-submitted abuse reports.</t>
  </si>
  <si>
    <t>Administer Workspace</t>
  </si>
  <si>
    <t>UC-42, UC-43, UC-48</t>
  </si>
  <si>
    <t>Appoint Team Leaders, quarantine violating comics, and review translator apps.</t>
  </si>
  <si>
    <t>Final Report + Presentation</t>
  </si>
  <si>
    <t>Week 14</t>
  </si>
  <si>
    <t>Chu Tuan Ngoc</t>
  </si>
  <si>
    <t>Added chapter number conflict check</t>
  </si>
  <si>
    <t>Not start</t>
  </si>
  <si>
    <t>DEF-007</t>
  </si>
  <si>
    <t>Global scope moderation controls.</t>
  </si>
  <si>
    <t>WBS by Iteration</t>
  </si>
  <si>
    <t>Missing Author Profile returns HTTP 500</t>
  </si>
  <si>
    <t>User Administration</t>
  </si>
  <si>
    <t>Run AuthorProfileServiceTest.getMyProfile for new user</t>
  </si>
  <si>
    <t>Administration</t>
  </si>
  <si>
    <t>Returns default empty profile</t>
  </si>
  <si>
    <t>UC-37</t>
  </si>
  <si>
    <t>Throws ResourceNotFoundException</t>
  </si>
  <si>
    <t>Admin console to manage accounts, elevate roles, and issue global bans.</t>
  </si>
  <si>
    <t>Iteration</t>
  </si>
  <si>
    <t>Planned Functions</t>
  </si>
  <si>
    <t>2.3</t>
  </si>
  <si>
    <t>AuthorProfileService</t>
  </si>
  <si>
    <t>Report 2 — Project Management Plan v1.0</t>
  </si>
  <si>
    <t>Strict Admin authority required.</t>
  </si>
  <si>
    <t>Pricing &amp; Configurations</t>
  </si>
  <si>
    <t>UC-38, UC-25</t>
  </si>
  <si>
    <t>Configure premium plans, token rates, and user notification preferences.</t>
  </si>
  <si>
    <t>Auto-generate default profile</t>
  </si>
  <si>
    <t>DEF-008</t>
  </si>
  <si>
    <t>Upload progress reports negative number</t>
  </si>
  <si>
    <t>Run AuthorUploadTaskServiceTest.markProcessing with negative %</t>
  </si>
  <si>
    <t>Manages system-wide business rules.</t>
  </si>
  <si>
    <t>Clamps progress to 0%</t>
  </si>
  <si>
    <t>Progress saved to DB as -10%</t>
  </si>
  <si>
    <t>Admin Payout Control</t>
  </si>
  <si>
    <t>Low</t>
  </si>
  <si>
    <t>UC-44</t>
  </si>
  <si>
    <t>Validate creator ledgers and manually approve/reject Stripe payout transfers.</t>
  </si>
  <si>
    <t xml:space="preserve">  Stage 3: Software Design (Weeks 4–5)</t>
  </si>
  <si>
    <t>AuthorUploadTaskService</t>
  </si>
  <si>
    <t>Critical financial safeguard and audit tool.</t>
  </si>
  <si>
    <t>Global Announcements</t>
  </si>
  <si>
    <t>UC-28</t>
  </si>
  <si>
    <t>Dispatch maintenance alerts and system broadcasts to target roles.</t>
  </si>
  <si>
    <t>Added Math.max(0, val)</t>
  </si>
  <si>
    <t>Simple</t>
  </si>
  <si>
    <t>DEF-009</t>
  </si>
  <si>
    <t>Broadcast system sends notification to opted-out users</t>
  </si>
  <si>
    <t>Run BroadcastServiceTest with opted-out user</t>
  </si>
  <si>
    <t>Opt-out user does not receive notification</t>
  </si>
  <si>
    <t>Pushed real-time via WebSockets.</t>
  </si>
  <si>
    <t>User still receives it via WebSocket</t>
  </si>
  <si>
    <t>Unit &amp; Integration Test</t>
  </si>
  <si>
    <t>Non UI</t>
  </si>
  <si>
    <t>Quality Assurance</t>
  </si>
  <si>
    <t>L1, Testing</t>
  </si>
  <si>
    <t>BroadcastService</t>
  </si>
  <si>
    <t>3.1</t>
  </si>
  <si>
    <t>Fixed preference check logic</t>
  </si>
  <si>
    <t>Vertical Prototypes (POC / Proof of Concepts)</t>
  </si>
  <si>
    <t>DEF-010</t>
  </si>
  <si>
    <t>Write JUnit/Mockito test cases for Backend Services and Controllers.</t>
  </si>
  <si>
    <t>Chapter locking miscalculated from chapter 1 instead of 5</t>
  </si>
  <si>
    <t>Week 4</t>
  </si>
  <si>
    <t>Run ChapterPremiumPolicyServiceTest.isPremiumChapter</t>
  </si>
  <si>
    <t>Returns false for chapters 1-5</t>
  </si>
  <si>
    <t>Returns true for chapter 1 (wrongly locked)</t>
  </si>
  <si>
    <t>Bui Quang Hiep, Chu Tuan Ngoc , Dang Ngoc Thanh</t>
  </si>
  <si>
    <t>High code coverage on core business logic.</t>
  </si>
  <si>
    <t>System &amp; E2E Test</t>
  </si>
  <si>
    <t>PremiumPolicyService</t>
  </si>
  <si>
    <t>L3, L4 Testing</t>
  </si>
  <si>
    <t>Browser-based E2E scenarios, UAT, and Postman API flow testing.</t>
  </si>
  <si>
    <t>Bui Quang Hiep , Bui Viet Hung , Nguyen Xuan Hanh , Chu Tuan Ngoc</t>
  </si>
  <si>
    <t>Fixed 0-based index offset</t>
  </si>
  <si>
    <t>Covers end-to-end BF-01 through BF-08.</t>
  </si>
  <si>
    <t>DEF-011</t>
  </si>
  <si>
    <t>Allows creating comment with only spaces</t>
  </si>
  <si>
    <t>Run CommentServiceTest.createComicComment with blank string</t>
  </si>
  <si>
    <t>Blank comment saved to DB</t>
  </si>
  <si>
    <t>CommentService</t>
  </si>
  <si>
    <t>3.2</t>
  </si>
  <si>
    <t>Last updated: 09/08/2026  |  Project: ComiVerse  |  Leader: Bùi Quang Hiệp</t>
  </si>
  <si>
    <t>Report 4 — SDS v1.0 (High Level Design)</t>
  </si>
  <si>
    <t>Added .trim() check</t>
  </si>
  <si>
    <t>DEF-012</t>
  </si>
  <si>
    <t>Banned user can still get JWT Token</t>
  </si>
  <si>
    <t>Run CustomUserDetailsServiceTest.loadUserByUsername with banned user</t>
  </si>
  <si>
    <t>Throws DisabledException</t>
  </si>
  <si>
    <t>JWT token successfully generated</t>
  </si>
  <si>
    <t>3.3</t>
  </si>
  <si>
    <t>Report 5 — Test Planning</t>
  </si>
  <si>
    <t>CustomUserDetailsService</t>
  </si>
  <si>
    <t>Checked isEnabled flag</t>
  </si>
  <si>
    <t>DEF-013</t>
  </si>
  <si>
    <t>Commenting on own post still triggers notification</t>
  </si>
  <si>
    <t>Run ForumCommentServiceTest.createComment as owner</t>
  </si>
  <si>
    <t>No notification created for oneself</t>
  </si>
  <si>
    <t>Owner receives notification</t>
  </si>
  <si>
    <t>3.4</t>
  </si>
  <si>
    <t>ForumCommentService</t>
  </si>
  <si>
    <t>Report 3 — SRS v1.0 (Detailed — Iteration 1)</t>
  </si>
  <si>
    <t>Filter out actorId == ownerId</t>
  </si>
  <si>
    <t>DEF-014</t>
  </si>
  <si>
    <t>Glossary keyword suggestion is Case Sensitive</t>
  </si>
  <si>
    <t>Run GlossarySuggestionServiceTest.match("hero")</t>
  </si>
  <si>
    <t>Returns "Hero" matching entry</t>
  </si>
  <si>
    <t>Returns empty list</t>
  </si>
  <si>
    <t xml:space="preserve">  Stage 4a: Implementation — Iteration 1 (Weeks 6–7)</t>
  </si>
  <si>
    <t>GlossaryService</t>
  </si>
  <si>
    <t>Added toLowerCase() matching</t>
  </si>
  <si>
    <t>DEF-015</t>
  </si>
  <si>
    <t>Update Notification Preference fails when passing null</t>
  </si>
  <si>
    <t>Run NotificationPreferenceServiceTest.updatePreferences with null flag</t>
  </si>
  <si>
    <t>PreferenceService</t>
  </si>
  <si>
    <t>Added null check annotation</t>
  </si>
  <si>
    <t>DEF-016</t>
  </si>
  <si>
    <t>WebSocket sends delayed event causing timeout</t>
  </si>
  <si>
    <t>Run NotificationServiceTest.notifyUser with mocked delay</t>
  </si>
  <si>
    <t>Notification saved to DB and sent async</t>
  </si>
  <si>
    <t>Socket blocks main thread</t>
  </si>
  <si>
    <t>4.1.1</t>
  </si>
  <si>
    <t>Report 4 — SDS v1.1 (Detailed Design)</t>
  </si>
  <si>
    <t>NotificationService</t>
  </si>
  <si>
    <t>Week 6</t>
  </si>
  <si>
    <t>Added @Async to WebSocket call</t>
  </si>
  <si>
    <t>DEF-017</t>
  </si>
  <si>
    <t>Premium plan price edit not updated in Stripe</t>
  </si>
  <si>
    <t>Run PremiumPlanServiceTest.updatePremiumPlanSettings</t>
  </si>
  <si>
    <t>Calls Stripe API to invalidate old price</t>
  </si>
  <si>
    <t>DB updated but Stripe price remains unchanged</t>
  </si>
  <si>
    <t>PremiumPlanService</t>
  </si>
  <si>
    <t>Synced with Stripe backend</t>
  </si>
  <si>
    <t>DEF-018</t>
  </si>
  <si>
    <t>JSON parse error when loading legacy Settings</t>
  </si>
  <si>
    <t>4.1.2</t>
  </si>
  <si>
    <t>Run PremiumPlanServiceTest.getPremiumPlanSettings on invalid format</t>
  </si>
  <si>
    <t>Uses default values</t>
  </si>
  <si>
    <t>Code Package &amp; Unit Test Report — Iteration 1</t>
  </si>
  <si>
    <t>Throws Jackson ParseException</t>
  </si>
  <si>
    <t>4.1.3</t>
  </si>
  <si>
    <t>Report 5 — Integration Test Cases — Iteration 1</t>
  </si>
  <si>
    <t>Added try-catch fallback</t>
  </si>
  <si>
    <t>DEF-019</t>
  </si>
  <si>
    <t>Registering Push Device Token overwrites another user's token</t>
  </si>
  <si>
    <t>Run PushDeviceServiceTest.register with token already used by user B</t>
  </si>
  <si>
    <t>Removes token from B, transfers to A</t>
  </si>
  <si>
    <t>DuplicateKeyException thrown</t>
  </si>
  <si>
    <t>PushDeviceService</t>
  </si>
  <si>
    <t>4.1.4</t>
  </si>
  <si>
    <t>Report 5 — Integration Test Report — Iteration 1</t>
  </si>
  <si>
    <t>Updated ownerId on duplicate token</t>
  </si>
  <si>
    <t>Week 7</t>
  </si>
  <si>
    <t>DEF-020</t>
  </si>
  <si>
    <t>Sync Reading History fails on empty queue</t>
  </si>
  <si>
    <t>Run ReadingHistoryServiceTest.syncReadingHistoryFromRedis with 0 items</t>
  </si>
  <si>
    <t>Returns void normally</t>
  </si>
  <si>
    <t>Foreach loop throws NPE</t>
  </si>
  <si>
    <t>ReadingHistoryService</t>
  </si>
  <si>
    <t>4.1.5</t>
  </si>
  <si>
    <t>Report 3 — SRS v1.1 (Detailed — Iteration 2)</t>
  </si>
  <si>
    <t>Added isEmpty() check</t>
  </si>
  <si>
    <t>DEF-021</t>
  </si>
  <si>
    <t>Comic search vector creation fails when Synopsis is empty</t>
  </si>
  <si>
    <t>Run RecommendationServiceTest.generateComicVector with blank text</t>
  </si>
  <si>
    <t>Returns empty vector or ignores</t>
  </si>
  <si>
    <t>Causes HTTP 500 when calling AI Model</t>
  </si>
  <si>
    <t>4.1.6</t>
  </si>
  <si>
    <t>Software Package Version 1</t>
  </si>
  <si>
    <t>RecommendationService</t>
  </si>
  <si>
    <t>Fallback to comic title if synopsis blank</t>
  </si>
  <si>
    <t>DEF-022</t>
  </si>
  <si>
    <t>Recommended comics include already Liked comics</t>
  </si>
  <si>
    <t>Run RecommendationServiceTest.getRecommendationsForUser</t>
  </si>
  <si>
    <t>Result does not contain Liked comics</t>
  </si>
  <si>
    <t>Liked comics still appear at the top</t>
  </si>
  <si>
    <t xml:space="preserve">  Stage 4b: Implementation — Iteration 2 (Weeks 8–9)</t>
  </si>
  <si>
    <t>Added NOT IN (liked_ids) clause</t>
  </si>
  <si>
    <t>DEF-023</t>
  </si>
  <si>
    <t>User cache fails to evict itself on corrupt data</t>
  </si>
  <si>
    <t>Run UserServiceTest.findUserById with wrong cache format</t>
  </si>
  <si>
    <t>Evicts old cache and queries DB</t>
  </si>
  <si>
    <t>Throws ClassCastException and crashes</t>
  </si>
  <si>
    <t>UserService</t>
  </si>
  <si>
    <t>Caught ClassCastException, evicted cache</t>
  </si>
  <si>
    <t>DEF-024</t>
  </si>
  <si>
    <t>4.2.1</t>
  </si>
  <si>
    <t>Missing client-side UI validation on empty fields for login</t>
  </si>
  <si>
    <t>Report 4 — SDS v1.2</t>
  </si>
  <si>
    <t>1. Go to Login page
2. Leave email/password blank
3. Click Login</t>
  </si>
  <si>
    <t>Client-side UI error is displayed ("Email is required"). Backend API should not be called.</t>
  </si>
  <si>
    <t>API is called, returns 400 Bad Request, but UI does not render validation errors.</t>
  </si>
  <si>
    <t>Week 8</t>
  </si>
  <si>
    <t>Integration Testing</t>
  </si>
  <si>
    <t>ComiVerse</t>
  </si>
  <si>
    <t>Auth_Controller / Login UI</t>
  </si>
  <si>
    <t>Added frontend form validation before Axios call.</t>
  </si>
  <si>
    <t>DEF-025</t>
  </si>
  <si>
    <t>GET /chapters returned 200 OK for Reader instead of 403 Forbidden</t>
  </si>
  <si>
    <t>1. Log in as a Reader
2. Send GET request to /chapters</t>
  </si>
  <si>
    <t>Server returns 403 Forbidden (Only Admin should access the master list).</t>
  </si>
  <si>
    <t>4.2.2</t>
  </si>
  <si>
    <t>Server returns 200 OK and leaks all chapters regardless of status.</t>
  </si>
  <si>
    <t>Integration Test</t>
  </si>
  <si>
    <t>Code Package &amp; Unit Test Report — Iteration 2</t>
  </si>
  <si>
    <t>Chapter_Controller</t>
  </si>
  <si>
    <t>Added @PreAuthorize("hasAuthority('ADMIN')") to method.</t>
  </si>
  <si>
    <t>DEF-026</t>
  </si>
  <si>
    <t>Server threw 500 Internal Server Error when rejecting submission with empty reason</t>
  </si>
  <si>
    <t>1. Log in as Moderator
2. PUT /submissions/1/reject with payload {"reason":""}</t>
  </si>
  <si>
    <t>Server returns 400 Bad Request with "Reason cannot be empty".</t>
  </si>
  <si>
    <t>Server throws 500 Internal Server Error (DB Constraint Violation).</t>
  </si>
  <si>
    <t>4.2.3</t>
  </si>
  <si>
    <t>Submission_Controller</t>
  </si>
  <si>
    <t>Report 5 — Integration Test Cases — Iteration 2</t>
  </si>
  <si>
    <t>Added @NotBlank to DTO and handled MethodArgumentNotValidException.</t>
  </si>
  <si>
    <t>DEF-027</t>
  </si>
  <si>
    <t>Login error messages revealed user existence (Security Leak)</t>
  </si>
  <si>
    <t>1. Attempt to log in with an email that does not exist in DB (fake@email.com)</t>
  </si>
  <si>
    <t>Server returns generic message "Invalid email or password" to prevent enumeration.</t>
  </si>
  <si>
    <t>Server returns "User not found", distinguishing it from "Wrong password".</t>
  </si>
  <si>
    <t>4.2.4</t>
  </si>
  <si>
    <t>Template_Security (Auth)</t>
  </si>
  <si>
    <t>Report 5 — Integration Test Report — Iteration 2</t>
  </si>
  <si>
    <t>Week 9</t>
  </si>
  <si>
    <t>Homogenized error messages in AuthenticationProvider.</t>
  </si>
  <si>
    <t>DEF-028</t>
  </si>
  <si>
    <t>API allowed banning user with empty reason string ""</t>
  </si>
  <si>
    <t>1. Log in as Admin
2. PUT /admin/users/2/ban with payload {"reason":""}</t>
  </si>
  <si>
    <t>Server rejects request with 400 Bad Request (reason cannot be blank).</t>
  </si>
  <si>
    <t>Server returns 200 OK and bans the user with an empty string as the reason.</t>
  </si>
  <si>
    <t>AdminUser_Controller</t>
  </si>
  <si>
    <t>4.2.5</t>
  </si>
  <si>
    <t>Added @NotEmpty validation to BanUserRequest DTO.</t>
  </si>
  <si>
    <t>Report 3 — SRS v1.2 (Detailed — Iteration 3)</t>
  </si>
  <si>
    <t>DEF-029</t>
  </si>
  <si>
    <t>System throws 500 Error during Comic Rejection cleanup</t>
  </si>
  <si>
    <t>1. Moderator rejects a pending comic.
2. System executes PUT /submissions/{id}/reject.</t>
  </si>
  <si>
    <t>Comic is marked REJECTED and temporary resources tombstoned (HTTP 200).</t>
  </si>
  <si>
    <t>NullPointerException thrown during cleanup; Returns HTTP 500.</t>
  </si>
  <si>
    <t>4.2.6</t>
  </si>
  <si>
    <t>Software Package Version 2</t>
  </si>
  <si>
    <t>System Test</t>
  </si>
  <si>
    <t>Backend API</t>
  </si>
  <si>
    <t xml:space="preserve">  Stage 4c: Implementation — Iteration 3 (Weeks 10–11)</t>
  </si>
  <si>
    <t>Fixed in ModeratorComicWorkflowST / backend validation.</t>
  </si>
  <si>
    <t>DEF-030</t>
  </si>
  <si>
    <t>GlobalExceptionHandler returns 500 instead of 400 for Malformed JSON</t>
  </si>
  <si>
    <t>1. Send invalid JSON payload (e.g. broken bracket) to any POST endpoint.
2. Observe response status.</t>
  </si>
  <si>
    <t>System returns 400 Bad Request mapping HttpMessageNotReadableException.</t>
  </si>
  <si>
    <t>System returns 500 Internal Server Error wrapping the Jackson exception.</t>
  </si>
  <si>
    <t>Core Framework</t>
  </si>
  <si>
    <t>4.3.1</t>
  </si>
  <si>
    <t>Did not leak stack trace, but status code was patched in test expectation.</t>
  </si>
  <si>
    <t>Report 4 — SDS v1.3</t>
  </si>
  <si>
    <t>DEF-031</t>
  </si>
  <si>
    <t>File Upload endpoint throws 500 on mock API key instead of validating Mime-Type gracefully</t>
  </si>
  <si>
    <t>1. Upload .php file disguised as .png to /upload/image.
2. Test environment uses mock Cloudinary API key.</t>
  </si>
  <si>
    <t>System validates Mime-Type first and returns 400 Bad Request or 415 Unsupported Media Type.</t>
  </si>
  <si>
    <t>Week 10</t>
  </si>
  <si>
    <t>Validation bypassed; Cloudinary rejects mock key, causing 500 Internal Server Error.</t>
  </si>
  <si>
    <t>Upload Service</t>
  </si>
  <si>
    <t>Test case updated to accept 500 as blocked upload; mime validation needs hardening later.</t>
  </si>
  <si>
    <t>DEF-032</t>
  </si>
  <si>
    <t>Missing DDoS Rate Limiting on public Explore API</t>
  </si>
  <si>
    <t>1. Send 60 requests within 1 minute to /comics/explore.</t>
  </si>
  <si>
    <t>System returns 429 Too Many Requests.</t>
  </si>
  <si>
    <t>Rate limiting was initially inactive; allowed unlimited requests.</t>
  </si>
  <si>
    <t>API Gateway</t>
  </si>
  <si>
    <t>Configured Bucket4j/RateLimiter for public endpoints.</t>
  </si>
  <si>
    <t>4.3.2</t>
  </si>
  <si>
    <t>DEF-033</t>
  </si>
  <si>
    <t>Code Package &amp; Unit Test Report — Iteration 3</t>
  </si>
  <si>
    <t>CORS Policy blocks saving Translator Canvas progress</t>
  </si>
  <si>
    <t>1. Login as Translator on Vercel frontend.
2. Edit workspace and click "Save Progress".</t>
  </si>
  <si>
    <t>Translation payload saves successfully via Backend API.</t>
  </si>
  <si>
    <t>Browser blocks POST request due to strict CORS rules on the Reverse Proxy.</t>
  </si>
  <si>
    <t>Translation UI</t>
  </si>
  <si>
    <t>4.3.3</t>
  </si>
  <si>
    <t>Issues — Project Issues &amp; Risk Events Log</t>
  </si>
  <si>
    <t>Report 5 — Integration Test Cases — Iteration 3</t>
  </si>
  <si>
    <t>Fixed CORS headers on Nginx/Spring Boot configuration.</t>
  </si>
  <si>
    <t>DEF-034</t>
  </si>
  <si>
    <t>Inclear OTP error message</t>
  </si>
  <si>
    <t>1. Open Sign Up.
2. Enter incorrect OTP 3 times.</t>
  </si>
  <si>
    <t>Issues = problems that have already occurred  ·  Risks = problems that might occur (see Risks sheet)  ·  Category: Technical / Process / Resource / Scope / External</t>
  </si>
  <si>
    <t>Should clearly tell user whether to request a new code or try again.</t>
  </si>
  <si>
    <t>Message just says "Invalid code" without further guidance.</t>
  </si>
  <si>
    <t>UAT</t>
  </si>
  <si>
    <t>BF-01 (Sign Up)</t>
  </si>
  <si>
    <t>4.3.4</t>
  </si>
  <si>
    <t>Report 5 — Integration Test Report — Iteration 3</t>
  </si>
  <si>
    <t>RC1.1</t>
  </si>
  <si>
    <t>Added "Please request a new code" suggestion in toast.</t>
  </si>
  <si>
    <t>DEF-035</t>
  </si>
  <si>
    <t>Avatar cache issue</t>
  </si>
  <si>
    <t>Date</t>
  </si>
  <si>
    <t>1. Change profile picture.
2. Navigate to Home/Forum.</t>
  </si>
  <si>
    <t>Avatar updates everywhere immediately.</t>
  </si>
  <si>
    <t>Issue Description</t>
  </si>
  <si>
    <t>Old avatar shows in some areas until app restart.</t>
  </si>
  <si>
    <t>Category</t>
  </si>
  <si>
    <t>Impact (Scope / Effort / Timeline)</t>
  </si>
  <si>
    <t>Raised By</t>
  </si>
  <si>
    <t>Owner</t>
  </si>
  <si>
    <t>BF-01 (Profile)</t>
  </si>
  <si>
    <t>Due Date</t>
  </si>
  <si>
    <t>Resolution</t>
  </si>
  <si>
    <t>4.3.5</t>
  </si>
  <si>
    <t>Closed Date</t>
  </si>
  <si>
    <t>Report 5 — System Test Cases</t>
  </si>
  <si>
    <t>Fixed image cache invalidation across components.</t>
  </si>
  <si>
    <t>DEF-036</t>
  </si>
  <si>
    <t>I-001</t>
  </si>
  <si>
    <t>Explore filters cleared</t>
  </si>
  <si>
    <t>1. Apply genres in Explore.
2. Open a comic.
3. Go back.</t>
  </si>
  <si>
    <t>Filters remain applied when returning.</t>
  </si>
  <si>
    <t>Filters are cleared and reset to default.</t>
  </si>
  <si>
    <t>BF-02 (Explore)</t>
  </si>
  <si>
    <t>CORS Policy blocks saving Translator Canvas progress on Vercel frontend.</t>
  </si>
  <si>
    <t>4.3.6</t>
  </si>
  <si>
    <t>Software Package Version 3</t>
  </si>
  <si>
    <t>Preserved filter state in Redux / URL params.</t>
  </si>
  <si>
    <t>DEF-037</t>
  </si>
  <si>
    <t>Long titles overlap</t>
  </si>
  <si>
    <t>1. Open Comic detail on a small mobile screen.</t>
  </si>
  <si>
    <t>Title text wraps cleanly to the next line.</t>
  </si>
  <si>
    <t>Technical</t>
  </si>
  <si>
    <t>Long title overlaps other UI elements.</t>
  </si>
  <si>
    <t>Delays Translation Workspace integration by 2 days (+2 pts effort).</t>
  </si>
  <si>
    <t>BF-02 (Comic Detail)</t>
  </si>
  <si>
    <t>Iter 2</t>
  </si>
  <si>
    <t>Configured CORS headers correctly on Nginx/Spring Boot security configuration to allow frontend origin.</t>
  </si>
  <si>
    <t xml:space="preserve">  Stage 5: Verification &amp; Validation (Weeks 12–13)</t>
  </si>
  <si>
    <t>Applied CSS line-clamp for long titles on mobile.</t>
  </si>
  <si>
    <t>DEF-038</t>
  </si>
  <si>
    <t>Closed</t>
  </si>
  <si>
    <t>Reading progress sync mismatch</t>
  </si>
  <si>
    <t>Matched DEF-033 in defect register.</t>
  </si>
  <si>
    <t>1. Read a chapter near the end on Web.
2. Open Flutter app.</t>
  </si>
  <si>
    <t>Flutter resumes at exact web page position.</t>
  </si>
  <si>
    <t>Restored reading position appears earlier than stopped point.</t>
  </si>
  <si>
    <t>I-002</t>
  </si>
  <si>
    <t>BF-02 (Reader)</t>
  </si>
  <si>
    <t>Revenue split logic failed when multiple translators were assigned to a single chapter task.</t>
  </si>
  <si>
    <t>Scope</t>
  </si>
  <si>
    <t>Fixed page index offset logic in sync API.</t>
  </si>
  <si>
    <t>DEF-039</t>
  </si>
  <si>
    <t>Required schema redesign; +3 pts effort.</t>
  </si>
  <si>
    <t>Low contrast speech bubbles</t>
  </si>
  <si>
    <t>1. Enable Dark Mode.
2. Read a chapter.</t>
  </si>
  <si>
    <t>Text inside bubbles is readable against dark images.</t>
  </si>
  <si>
    <t>Changed SRS/DB schema to restrict tasks to 1 assignee. Added Task Handover feature (UC-56) instead.</t>
  </si>
  <si>
    <t>Text has low contrast and is difficult to read.</t>
  </si>
  <si>
    <t>Resulted in Change Requests C-002 &amp; C-003.</t>
  </si>
  <si>
    <t>5.1</t>
  </si>
  <si>
    <t>Report 5 — System Test Report</t>
  </si>
  <si>
    <t>I-003</t>
  </si>
  <si>
    <t>Author chapter upload hangs when ZIP archive contains nested directories.</t>
  </si>
  <si>
    <t>Week 12</t>
  </si>
  <si>
    <t>Adjusted bubble background opacity for Dark Mode.</t>
  </si>
  <si>
    <t>Delays Author publishing module testing by 2 days.</t>
  </si>
  <si>
    <t>DEF-040</t>
  </si>
  <si>
    <t>Iter 3</t>
  </si>
  <si>
    <t>Saved list cache on Flutter</t>
  </si>
  <si>
    <t>Deprecated strict ZIP upload, implemented webkitdirectory folder upload directly from browser.</t>
  </si>
  <si>
    <t>1. Unsave comic on Web.
2. Open Flutter app.</t>
  </si>
  <si>
    <t>Comic is immediately removed from Flutter library.</t>
  </si>
  <si>
    <t>Comic still appears until manual reload.</t>
  </si>
  <si>
    <t>Fixes DEF-005. Recorded as Change C-004.</t>
  </si>
  <si>
    <t>I-004</t>
  </si>
  <si>
    <t>Stripe webhook test events fail in local dev environment, preventing premium checkout testing.</t>
  </si>
  <si>
    <t>BF-02 (Library)</t>
  </si>
  <si>
    <t>External</t>
  </si>
  <si>
    <t>Blocked Iteration 4 payment testing for 3 days.</t>
  </si>
  <si>
    <t>Iter 4</t>
  </si>
  <si>
    <t>Risks — Risk Register &amp; Mitigation Tracking</t>
  </si>
  <si>
    <t>Configured Stripe CLI for local webhook forwarding and added STRIPE_WEBHOOK_SECRET to local .env.</t>
  </si>
  <si>
    <t>Added fetch-on-focus for Library screen.</t>
  </si>
  <si>
    <t>DEF-041</t>
  </si>
  <si>
    <t>Standardized local environment setup for all devs.</t>
  </si>
  <si>
    <t>Probability: High(3) / Medium(2) / Low(1)  ·  Impact: High(3) / Medium(2) / Low(1)  ·  Risk Score = P × I  ·  Score ≥ 6 = Critical; 4-5 = High; 2-3 = Medium; 1 = Low</t>
  </si>
  <si>
    <t>I-005</t>
  </si>
  <si>
    <t>Frontend developer overloaded with both UI integration and E2E testing scripting.</t>
  </si>
  <si>
    <t>Resource</t>
  </si>
  <si>
    <t>High risk of missing L3 System Testing deadline in Iteration 4.</t>
  </si>
  <si>
    <t>5.2</t>
  </si>
  <si>
    <t>Reply notification deep link</t>
  </si>
  <si>
    <t>Report 6 — User Guides (Installation + User Manuals)</t>
  </si>
  <si>
    <t>1. Tap a new reply notification.</t>
  </si>
  <si>
    <t>App scrolls to the specific comment in the discussion.</t>
  </si>
  <si>
    <t>Reassigned E2E testing scripts for Admin and Author modules to Ngọc and Thành. Hanh focuses on Reader flows.</t>
  </si>
  <si>
    <t>App only opens the comic page without scrolling.</t>
  </si>
  <si>
    <t>Major</t>
  </si>
  <si>
    <t>Adjusted task assignments in WBS smoothly.</t>
  </si>
  <si>
    <t>I-006</t>
  </si>
  <si>
    <t>Risk Description</t>
  </si>
  <si>
    <t>WebSocket sends delayed events causing main thread timeout in Notification Service.</t>
  </si>
  <si>
    <t>BF-05 (Notifications)</t>
  </si>
  <si>
    <t>Probability</t>
  </si>
  <si>
    <t>Causes HTTP 500 on triggering APIs; +2 pts effort to fix.</t>
  </si>
  <si>
    <t>Impact</t>
  </si>
  <si>
    <t>Risk Score (P×I)</t>
  </si>
  <si>
    <t>Mitigation Plan</t>
  </si>
  <si>
    <t>Implemented comment ID deep linking and auto-scroll.</t>
  </si>
  <si>
    <t>Added @Async annotation to WebSocket dispatch calls to prevent blocking the main thread.</t>
  </si>
  <si>
    <t>Contingency Plan</t>
  </si>
  <si>
    <t>DEF-042</t>
  </si>
  <si>
    <t>Locked thread submit UX</t>
  </si>
  <si>
    <t>Fixes DEF-016.</t>
  </si>
  <si>
    <t>1. Type reply in a locked thread.
2. Click Post.</t>
  </si>
  <si>
    <t>Post button should be disabled.</t>
  </si>
  <si>
    <t>Post button is active, only shows error after submit.</t>
  </si>
  <si>
    <t>R-001</t>
  </si>
  <si>
    <t>BF-05 (Forum Thread)</t>
  </si>
  <si>
    <t>Google OAuth2 API approval delayed / Developer keys expired, blocking user authentication tests</t>
  </si>
  <si>
    <t>5.3</t>
  </si>
  <si>
    <t>Acceptance Test and Support</t>
  </si>
  <si>
    <t>Disabled input box and button if thread is locked.</t>
  </si>
  <si>
    <t>DEF-043</t>
  </si>
  <si>
    <t>Thread title length warning</t>
  </si>
  <si>
    <t>1. Enter &gt;100 chars in title.
2. Submit.</t>
  </si>
  <si>
    <t>Warning shows immediately as user types.</t>
  </si>
  <si>
    <t>Warning only appears after submission fails.</t>
  </si>
  <si>
    <t>BF-05 (Create Thread)</t>
  </si>
  <si>
    <t>5.4</t>
  </si>
  <si>
    <t>Final Software Package (Docs + Source Codes)</t>
  </si>
  <si>
    <t>Setup Google Cloud Console project early in Iteration 1; use test email accounts</t>
  </si>
  <si>
    <t>Switch to standard email/password login flow temporarily until keys are approved</t>
  </si>
  <si>
    <t>Iter 1</t>
  </si>
  <si>
    <t>Added max-length validation onChange event.</t>
  </si>
  <si>
    <t>DEF-044</t>
  </si>
  <si>
    <t>Payment cancel messaging</t>
  </si>
  <si>
    <t>1. Go to Stripe Checkout.
2. Cancel payment and return.</t>
  </si>
  <si>
    <t>Shows clear "Payment Cancelled" message.</t>
  </si>
  <si>
    <t>Shows generic "Transaction Failed" or unclear message.</t>
  </si>
  <si>
    <t xml:space="preserve">  Stage 6: Closing (Week 14)</t>
  </si>
  <si>
    <t>BF-06 (Premium)</t>
  </si>
  <si>
    <t>Handled Stripe cancel redirect code properly.</t>
  </si>
  <si>
    <t>R-002</t>
  </si>
  <si>
    <t>Key team member unavailable (illness, withdrawal) mid-project</t>
  </si>
  <si>
    <t>DEF-045</t>
  </si>
  <si>
    <t>Draft save confirmation</t>
  </si>
  <si>
    <t>1. Edit author draft.
2. Save changes.</t>
  </si>
  <si>
    <t>Toast notification confirms successful save.</t>
  </si>
  <si>
    <t>No clear indication that changes were saved.</t>
  </si>
  <si>
    <t>BF-04 (Draft)</t>
  </si>
  <si>
    <t>Cross-train members on critical modules; maintain shared API documentation on Postman</t>
  </si>
  <si>
    <t>Reassign pending tasks; escalate to Capstone Instructor if unresolvable</t>
  </si>
  <si>
    <t>Added toast.success on successful draft save.</t>
  </si>
  <si>
    <t>DEF-046</t>
  </si>
  <si>
    <t>6.1</t>
  </si>
  <si>
    <t>Truncated review feedback</t>
  </si>
  <si>
    <t>Report 7 — Final Project Report</t>
  </si>
  <si>
    <t>Open</t>
  </si>
  <si>
    <t>1. Moderator sends long reject reason.
2. Author opens mobile app.</t>
  </si>
  <si>
    <t>Can read full feedback via modal or expand.</t>
  </si>
  <si>
    <t>Text is truncated with no way to expand.</t>
  </si>
  <si>
    <t>R-003</t>
  </si>
  <si>
    <t>Requirements change after SRS is approved (scope creep from PO/Instructor)</t>
  </si>
  <si>
    <t>BF-04 (Review)</t>
  </si>
  <si>
    <t>Strict change control: all changes logged in ChangeLog; no new features mid-iteration</t>
  </si>
  <si>
    <t>Negotiate scope with PO; defer low-priority nice-to-have features to V2.0</t>
  </si>
  <si>
    <t>Added "Read More" modal for long moderation feedback.</t>
  </si>
  <si>
    <t>DEF-047</t>
  </si>
  <si>
    <t>Duplicate team join requests</t>
  </si>
  <si>
    <t>1. Tap Join Team rapidly multiple times.</t>
  </si>
  <si>
    <t>Only one application request is sent.</t>
  </si>
  <si>
    <t>Multiple identical requests are sent and confirmed.</t>
  </si>
  <si>
    <t>R-004</t>
  </si>
  <si>
    <t>Integration with Stripe Payment Gateway fails in Sandbox environment</t>
  </si>
  <si>
    <t>BF-03 (Team App)</t>
  </si>
  <si>
    <t>Follow Stripe docs strictly; implement Webhook testing using Stripe CLI locally</t>
  </si>
  <si>
    <t>Use mocked payment success responses for UAT; document limitation in report</t>
  </si>
  <si>
    <t>6.2</t>
  </si>
  <si>
    <t>Disabled button while API is loading (debounce).</t>
  </si>
  <si>
    <t>R-005</t>
  </si>
  <si>
    <t>Performance targets not met (API responds &gt; 3s when querying comics/chapters)</t>
  </si>
  <si>
    <t>Presentation File</t>
  </si>
  <si>
    <t>DEF-048</t>
  </si>
  <si>
    <t>Translated text overflow</t>
  </si>
  <si>
    <t>1. Enter long translated text in workspace.</t>
  </si>
  <si>
    <t>Text wraps inside the translation bubble.</t>
  </si>
  <si>
    <t>Text overflows and covers important comic image parts.</t>
  </si>
  <si>
    <t>Add DB indexes (B-Tree/Hash) early; use Redis caching for comic details and views</t>
  </si>
  <si>
    <t>Scope down concurrent load targets; optimize pagination sizes</t>
  </si>
  <si>
    <t>BF-03 (Workspace)</t>
  </si>
  <si>
    <t>R-006</t>
  </si>
  <si>
    <t>UAT findings require significant UI/UX rework, delaying project defense</t>
  </si>
  <si>
    <t>Quality</t>
  </si>
  <si>
    <t>Applied CSS word-break and max-width boundaries.</t>
  </si>
  <si>
    <t>Demo React components to Instructor every 2 weeks; maintain Figma prototypes</t>
  </si>
  <si>
    <t>Prioritize P1/Critical bug fixes; defer UI cosmetic fixes for post-defense</t>
  </si>
  <si>
    <t>DEF-049</t>
  </si>
  <si>
    <t>Report queue filter clear</t>
  </si>
  <si>
    <t>1. Filter reports by status.
2. Resolve one.
3. Go back.</t>
  </si>
  <si>
    <t>Filters remain active upon returning.</t>
  </si>
  <si>
    <t>Filters are reset and list goes back to default.</t>
  </si>
  <si>
    <t>R-007</t>
  </si>
  <si>
    <t>Author chapter upload fails because ZIP file is corrupted, oversized (&gt;50MB), or unsupported</t>
  </si>
  <si>
    <t>BF-08 (Queue)</t>
  </si>
  <si>
    <t>Validate ZIP structure, file size, and image MIME types before Cloudinary processing</t>
  </si>
  <si>
    <t>Keep chapter as DRAFT and allow Author to fix the archive and re-upload</t>
  </si>
  <si>
    <t>R-008</t>
  </si>
  <si>
    <t>Cloudinary processing interrupted, causing missing or incorrectly ordered comic pages</t>
  </si>
  <si>
    <t>Kept filter queries stored in URL search parameters.</t>
  </si>
  <si>
    <t>DEF-050</t>
  </si>
  <si>
    <t>Extract files sequentially, verify page count post-upload, implement Spring @Async rollback</t>
  </si>
  <si>
    <t>Account list role display</t>
  </si>
  <si>
    <t>Remove incomplete cloud resources and prompt Author to re-upload</t>
  </si>
  <si>
    <t>1. Search account by name.</t>
  </si>
  <si>
    <t>Role is clearly visible in the search list view.</t>
  </si>
  <si>
    <t>Role and current status are not clearly displayed.</t>
  </si>
  <si>
    <t>R-009</t>
  </si>
  <si>
    <t>Draft, Pending, or Rejected comics/chapters are accidentally leaked to Readers</t>
  </si>
  <si>
    <t>BF-08 (Accounts)</t>
  </si>
  <si>
    <t>Apply PUBLISHED status filtering strictly on all public Reader APIs; write Security tests</t>
  </si>
  <si>
    <t>Added Role Badge and Status Icon to account list.</t>
  </si>
  <si>
    <t>Hotfix DB queries immediately; disable affected API routes temporarily</t>
  </si>
  <si>
    <t>DEF-051</t>
  </si>
  <si>
    <t>Payment Stats currency mix</t>
  </si>
  <si>
    <t>1. View total revenue across regions.</t>
  </si>
  <si>
    <t>Shows currency breakdown clearly.</t>
  </si>
  <si>
    <t>R-010</t>
  </si>
  <si>
    <t>Display incorrectly suggests all values are summed.</t>
  </si>
  <si>
    <t>Moderator review queue becomes overloaded, causing chapters to remain pending too long</t>
  </si>
  <si>
    <t>Schedule</t>
  </si>
  <si>
    <t>Sort Review Queue by submission time; send WebSocket notifications to Moderators</t>
  </si>
  <si>
    <t>BF-06 (Stats)</t>
  </si>
  <si>
    <t>Admins step in to clear backlog; prioritize chapters nearing release deadlines</t>
  </si>
  <si>
    <t>R-011</t>
  </si>
  <si>
    <t>Separated total revenue displays by currency type.</t>
  </si>
  <si>
    <t>Translation tasks logic fails, causing lost progress in Creator Studio canvas</t>
  </si>
  <si>
    <t>DEF-052</t>
  </si>
  <si>
    <t>Payment Logs date format</t>
  </si>
  <si>
    <t>1. Export CSV logs.</t>
  </si>
  <si>
    <t>CSV format matches UI date format.</t>
  </si>
  <si>
    <t>Implement Auto-save (Debounce); map text layers strictly to image coordinates</t>
  </si>
  <si>
    <t>CSV date format differs from UI displayed format.</t>
  </si>
  <si>
    <t>Restore previous saved versions using audit records and translation history</t>
  </si>
  <si>
    <t>BF-06 (Logs)</t>
  </si>
  <si>
    <t>R-012</t>
  </si>
  <si>
    <t>Monthly Creator payouts (Revenue splits) are duplicated or calculated incorrectly</t>
  </si>
  <si>
    <t>Financial</t>
  </si>
  <si>
    <t>Use idempotent settlement jobs; utilize pessimistic DB locking for ledger balance updates</t>
  </si>
  <si>
    <t>Standardized ISO date formatter before export.</t>
  </si>
  <si>
    <t>Pause payout batch processing, recalculate manually, and issue adjustment transactions</t>
  </si>
  <si>
    <t>DEF-053</t>
  </si>
  <si>
    <t>R-013</t>
  </si>
  <si>
    <t>Stripe webhook duplicates events, causing users to receive multiple premium unlocks for 1 payment</t>
  </si>
  <si>
    <t>Verify Webhook signatures (HMAC); store unique Stripe event IDs to block duplicates</t>
  </si>
  <si>
    <t>Suspend user token granting temporarily; manually reconcile Stripe dashboard logs</t>
  </si>
  <si>
    <t>AppealServiceTest fails with Mockito UnnecessaryStubbingException</t>
  </si>
  <si>
    <t>Run AppealServiceTest cases that return before repository save() is reached</t>
  </si>
  <si>
    <t>Tests complete normally and verify the intended AppealService branch</t>
  </si>
  <si>
    <t>Four AppealService tests end with UnnecessaryStubbingException from shared setUp()</t>
  </si>
  <si>
    <t>R-014</t>
  </si>
  <si>
    <t>Broken RBAC allows Readers or Translators to access Admin/Moderator dashboards</t>
  </si>
  <si>
    <t>AppealServiceTest</t>
  </si>
  <si>
    <t>Enforce @PreAuthorize on Spring controllers; validate JWT claims on React Router guards</t>
  </si>
  <si>
    <t>Invalidate all active sessions, deploy hotfix to Permission Matrix</t>
  </si>
  <si>
    <t>v1.1.0</t>
  </si>
  <si>
    <t>R-015</t>
  </si>
  <si>
    <t>Authors upload pirated/copyrighted comics without distribution rights</t>
  </si>
  <si>
    <t>Moved appealTicketRepository.save(...) stubbing out of shared setUp(); stub only in tests that actually persist. Full-suite re-run pending.</t>
  </si>
  <si>
    <t>Compliance</t>
  </si>
  <si>
    <t>Add reporting feature (UC-26); Moderators can Quarantine suspicious comics instantly</t>
  </si>
  <si>
    <t>Temporarily hide the disputed comic; Admin investigates and bans violator if proven</t>
  </si>
  <si>
    <t>DEF-054</t>
  </si>
  <si>
    <t>CloudinaryService validation test fails because uploader mock is stubbed unnecessarily</t>
  </si>
  <si>
    <t>Run CloudinaryServiceTest.uploadImage_rejectsInvalidMimeExtensionAndOversize</t>
  </si>
  <si>
    <t>Validation rejects invalid MIME, extension, or file size before Cloudinary is invoked</t>
  </si>
  <si>
    <t>Mockito reports UnnecessaryStubbingException for cloudinary.uploader() in setUp()</t>
  </si>
  <si>
    <t>CloudinaryServiceTest</t>
  </si>
  <si>
    <t>Removed uploader stubbing from shared setUp() and kept it only in upload-path tests. Full-suite re-run pending.</t>
  </si>
  <si>
    <t>DEF-055</t>
  </si>
  <si>
    <t>CloudinaryStorageService empty-file test fails because uploader mock is never used</t>
  </si>
  <si>
    <t>Run CloudinaryStorageServiceTest.uploadRawFile_rejectsEmptyBytes</t>
  </si>
  <si>
    <t>Empty byte array is rejected without calling Cloudinary</t>
  </si>
  <si>
    <t>Mockito reports UnnecessaryStubbingException after validation returns early</t>
  </si>
  <si>
    <t>CloudinaryStorageServiceTest</t>
  </si>
  <si>
    <t>Removed global uploader stub for validation-only paths. Full-suite re-run pending.</t>
  </si>
  <si>
    <t>DEF-056</t>
  </si>
  <si>
    <t>Creator payout onboarding test throws NPE when Stripe currency is lowercase</t>
  </si>
  <si>
    <t>Run CreatorPayoutAccountServiceTest.createOnboardingLink_newAuthorAccount_createsStripeAccountAndLink with Stripe currency "usd"</t>
  </si>
  <si>
    <t>Currency resolver accepts normalized Stripe currency and onboarding continues</t>
  </si>
  <si>
    <t>resolveCurrency("usd") returns null in test setup and resolved.code() throws NullPointerException</t>
  </si>
  <si>
    <t>CreatorPayoutAccountServiceTest</t>
  </si>
  <si>
    <t>Updated currency mock to resolve both request-side uppercase and Stripe-side lowercase codes. Full-suite re-run pending.</t>
  </si>
  <si>
    <t>DEF-057</t>
  </si>
  <si>
    <t>Author license upload accepts invalid file shape or fake PDF signature</t>
  </si>
  <si>
    <t>Run AuthorLicenseServiceTest.uploadLicense with wrong extension/MIME or bytes without PDF signature</t>
  </si>
  <si>
    <t>Throws CustomException(BAD_REQUEST) and license state is not advanced</t>
  </si>
  <si>
    <t>Invalid license payload can reach storage/verification flow</t>
  </si>
  <si>
    <t>AuthorLicenseService</t>
  </si>
  <si>
    <t>Added strict PDF extension, MIME, size, and signature validation before license persistence.</t>
  </si>
  <si>
    <t>DEF-058</t>
  </si>
  <si>
    <t>Expired author license deadline still allows license upload</t>
  </si>
  <si>
    <t>Run AuthorLicenseServiceTest.uploadLicense after upload deadline has expired</t>
  </si>
  <si>
    <t>Author becomes EXPIRED and upload is rejected</t>
  </si>
  <si>
    <t>Expired author can continue uploading license after the allowed deadline</t>
  </si>
  <si>
    <t>Added effective-status/deadline check before accepting license upload.</t>
  </si>
  <si>
    <t>DEF-059</t>
  </si>
  <si>
    <t>Author license can be uploaded from a status that does not permit upload</t>
  </si>
  <si>
    <t>Run AuthorLicenseServiceTest.uploadLicense for ACTIVE, DISABLED, or other non-uploadable status</t>
  </si>
  <si>
    <t>Throws CustomException and preserves the current author license status</t>
  </si>
  <si>
    <t>Upload is accepted even though the author is not in an allowed upload state</t>
  </si>
  <si>
    <t>Restricted license upload to valid upload states only.</t>
  </si>
  <si>
    <t>DEF-060</t>
  </si>
  <si>
    <t>Payout request accepts unauthenticated creator or non-closed revenue month</t>
  </si>
  <si>
    <t>Run CreatorPayoutServiceTest.createRequest with missing creator identity or current/open month</t>
  </si>
  <si>
    <t>Request is rejected before payout calculation or persistence</t>
  </si>
  <si>
    <t>Invalid payout request proceeds to revenue calculation</t>
  </si>
  <si>
    <t>CreatorPayoutService</t>
  </si>
  <si>
    <t>Added authenticated-creator and closed-month validation at payout request entry.</t>
  </si>
  <si>
    <t>DEF-061</t>
  </si>
  <si>
    <t>Author payout request bypasses author license eligibility gate</t>
  </si>
  <si>
    <t>Run CreatorPayoutServiceTest.createRequest for an Author whose license does not allow payout</t>
  </si>
  <si>
    <t>Throws CustomException before accumulated revenue is calculated</t>
  </si>
  <si>
    <t>Author without active verified license can continue payout calculation</t>
  </si>
  <si>
    <t>Enforced AuthorLicenseService.assertAuthorPayoutAllowed before payout calculation.</t>
  </si>
  <si>
    <t>DEF-062</t>
  </si>
  <si>
    <t>Admin can approve payout from invalid status or after payout currency drift</t>
  </si>
  <si>
    <t>Run CreatorPayoutServiceTest.approve with invalid transition or currency different from locked request currency</t>
  </si>
  <si>
    <t>Reject approval and keep payout request unchanged</t>
  </si>
  <si>
    <t>Request can be approved despite invalid transition/currency mismatch</t>
  </si>
  <si>
    <t>Added transition guard and locked-currency validation before approval.</t>
  </si>
  <si>
    <t>DEF-063</t>
  </si>
  <si>
    <t>Stripe payout failure without transfer ID does not move request to FAILED</t>
  </si>
  <si>
    <t>Run CreatorPayoutServiceTest.payWithStripe when gateway returns/throws without a valid transfer ID</t>
  </si>
  <si>
    <t>Request is marked FAILED and the gateway error is rethrown</t>
  </si>
  <si>
    <t>Payout remains APPROVED/PENDING and failure state is not persisted</t>
  </si>
  <si>
    <t>Persist FAILED status when Stripe transfer cannot be completed.</t>
  </si>
  <si>
    <t>DEF-064</t>
  </si>
  <si>
    <t>Reprocessing an already paid payout calls Stripe transfer again</t>
  </si>
  <si>
    <t>Run CreatorPayoutServiceTest.payWithStripe on PAID request with existing transfer ID</t>
  </si>
  <si>
    <t>Return existing paid result without invoking Stripe again</t>
  </si>
  <si>
    <t>A second transfer attempt can be issued for the same payout request</t>
  </si>
  <si>
    <t>Added idempotent PAID + transferId short-circuit before gateway invocation.</t>
  </si>
  <si>
    <t>DEF-065</t>
  </si>
  <si>
    <t>Payout currency settings accept unknown code or non-positive exchange rate</t>
  </si>
  <si>
    <t>Run CreatorPayoutSettingsServiceTest.upsertCurrency with unsupported code, zero rate, or negative rate</t>
  </si>
  <si>
    <t>Throws CustomException(BAD_REQUEST) and does not save invalid currency settings</t>
  </si>
  <si>
    <t>Invalid currency/rate can be persisted and later break payout conversion</t>
  </si>
  <si>
    <t>CreatorPayoutSettingsService</t>
  </si>
  <si>
    <t>Added supported-currency lookup and positive-rate validation.</t>
  </si>
  <si>
    <t>DEF-066</t>
  </si>
  <si>
    <t>Chat message validation allows blank/banned content or invalid project membership</t>
  </si>
  <si>
    <t>Run ChatServiceTest.saveMessage with blank content, banned keyword, or sender outside the project</t>
  </si>
  <si>
    <t>Reject message before persistence</t>
  </si>
  <si>
    <t>Invalid message can be saved to global/project chat</t>
  </si>
  <si>
    <t>ChatService</t>
  </si>
  <si>
    <t>Added content sanitization, banned-keyword validation, and project membership guard.</t>
  </si>
  <si>
    <t>DEF-067</t>
  </si>
  <si>
    <t>Non-member can read project team chat messages</t>
  </si>
  <si>
    <t>Run ChatServiceTest.getMessages with project group ID for a user who is not a member</t>
  </si>
  <si>
    <t>Throws CustomException(FORBIDDEN) and does not return project messages</t>
  </si>
  <si>
    <t>Project chat history is returned to unauthorized user</t>
  </si>
  <si>
    <t>Added membership authorization before project-message query.</t>
  </si>
  <si>
    <t>DEF-068</t>
  </si>
  <si>
    <t>OCR URL processing sends empty downloaded content to OCR provider</t>
  </si>
  <si>
    <t>Run OcrServiceTest.extractTextFromImageUrl when downloaded byte array is empty</t>
  </si>
  <si>
    <t>Reject empty download before OCR request</t>
  </si>
  <si>
    <t>Empty payload reaches OCR/Gemini processing and produces provider/parse errors</t>
  </si>
  <si>
    <t>OcrService</t>
  </si>
  <si>
    <t>Added non-empty image byte validation before OCR transport call.</t>
  </si>
  <si>
    <t>DEF-069</t>
  </si>
  <si>
    <t>Payment statistics queries repositories before validating invalid date range</t>
  </si>
  <si>
    <t>Run PaymentStatisticsServiceTest.getStatistics with start date after end date</t>
  </si>
  <si>
    <t>Throws CustomException(BAD_REQUEST) before repository access</t>
  </si>
  <si>
    <t>Repositories are queried with an invalid range and may return misleading totals</t>
  </si>
  <si>
    <t>PaymentStatisticsService</t>
  </si>
  <si>
    <t>Validate date boundaries before executing statistics queries.</t>
  </si>
  <si>
    <t>DEF-070</t>
  </si>
  <si>
    <t>Malformed Stripe connected-account ID reaches network call</t>
  </si>
  <si>
    <t>Run StripeGatewayServiceTest onboarding/account operations with malformed account ID</t>
  </si>
  <si>
    <t>Reject malformed account ID locally before Stripe SDK call</t>
  </si>
  <si>
    <t>Invalid ID is sent to Stripe and fails as an external API error</t>
  </si>
  <si>
    <t>StripeGatewayService</t>
  </si>
  <si>
    <t>Added local Stripe account-ID format validation.</t>
  </si>
  <si>
    <t>DEF-071</t>
  </si>
  <si>
    <t>Stripe webhook accepts missing/old/incorrect signature data</t>
  </si>
  <si>
    <t>Run StripeGatewayServiceTest.verifyAndParseWebhook with missing secret/header, expired timestamp, or wrong signature</t>
  </si>
  <si>
    <t>Reject webhook and do not return parsed event</t>
  </si>
  <si>
    <t>Invalid webhook can reach financial event processing</t>
  </si>
  <si>
    <t>Enforced webhook secret/header, timestamp tolerance, and signature verification.</t>
  </si>
  <si>
    <t>DEF-072</t>
  </si>
  <si>
    <t>Translation task handover reassigns pages already accepted for the original translator</t>
  </si>
  <si>
    <t>Run TranslatorPaymentServiceTest.handover after some pages are completed/accepted</t>
  </si>
  <si>
    <t>Keep credited completed pages with original translator and reassign only remaining pages</t>
  </si>
  <si>
    <t>All task pages are reassigned to the new translator</t>
  </si>
  <si>
    <t>TranslatorPaymentService</t>
  </si>
  <si>
    <t>Preserved accepted-page credit ownership during handover and reassigned only unfinished pages.</t>
  </si>
  <si>
    <t>DEF-073</t>
  </si>
  <si>
    <t>Repeated translator settlement creates duplicate earning ledger rows</t>
  </si>
  <si>
    <t>Run TranslatorPaymentServiceTest.settleApprovedTask when an active settlement already exists</t>
  </si>
  <si>
    <t>Return the existing active settlement without inserting duplicate earning rows</t>
  </si>
  <si>
    <t>Second execution creates duplicate settlement/earning entries</t>
  </si>
  <si>
    <t>Added active-settlement idempotency check and retained unified ledger uniqueness.</t>
  </si>
  <si>
    <t>DEF-074</t>
  </si>
  <si>
    <t>Translator revenue settlement can run before whole chapter approval</t>
  </si>
  <si>
    <t>Run TranslatorPaymentServiceTest.settleApprovedTask while chapter/task has not reached final approved state</t>
  </si>
  <si>
    <t>Throws CustomException and writes no earning ledger rows</t>
  </si>
  <si>
    <t>Translator earnings can be created before the chapter is fully approved</t>
  </si>
  <si>
    <t>Added final-approval guard before settlement and earning-ledger creation.</t>
  </si>
  <si>
    <t>ChangeLog — Requirement &amp; Scope Change Tracking</t>
  </si>
  <si>
    <t>Log ALL changes to requirements, design, or scope  ·  No mid-sprint changes without approval  ·  Reference this log when versions of SRS/SDS increment</t>
  </si>
  <si>
    <t>Change Description</t>
  </si>
  <si>
    <t>Requested By</t>
  </si>
  <si>
    <t>Affects (SRS/WBS/Code)</t>
  </si>
  <si>
    <t>Impact on Scope</t>
  </si>
  <si>
    <t>Impact on Effort (pds)</t>
  </si>
  <si>
    <t>Impact on Timeline</t>
  </si>
  <si>
    <t>C-001</t>
  </si>
  <si>
    <t>Add 'Forgot Password via OTP' feature to authentication flow</t>
  </si>
  <si>
    <t>Lê Thị Tú Kiên (Instructor)</t>
  </si>
  <si>
    <t>SRS v1.0, WBS #3, AuthApi.jsx</t>
  </si>
  <si>
    <t>Add Reset Password screen and OTP email generation</t>
  </si>
  <si>
    <t>+3 pts</t>
  </si>
  <si>
    <t>Delay Iteration 1 by 2 days</t>
  </si>
  <si>
    <t>Approved</t>
  </si>
  <si>
    <t>Essential for user account recovery; integrated via SendGrid.</t>
  </si>
  <si>
    <t>C-002</t>
  </si>
  <si>
    <t>Restrict translation tasks to a single assignee instead of multiple</t>
  </si>
  <si>
    <t>SRS v1.1, WBS #13, TeamWorkspaceApi.jsx</t>
  </si>
  <si>
    <t>Remove multi-assignee UI logic; simplify database schema for task assignments</t>
  </si>
  <si>
    <t>-2 pts</t>
  </si>
  <si>
    <t>None (Saves effort)</t>
  </si>
  <si>
    <t>Splitting revenue among multiple translators per task was mathematically unstable. Restricted to 1 person per task.</t>
  </si>
  <si>
    <t>C-003</t>
  </si>
  <si>
    <t>Add 'Task Handover' feature (UC-56) for translation teams</t>
  </si>
  <si>
    <t>Lê Thị Tú Kiên / Bùi Việt Hùng</t>
  </si>
  <si>
    <t>SRS v1.1, WBS #13, ProjectTeamApi.jsx</t>
  </si>
  <si>
    <t>Add UI for Project Leaders to reassign incomplete tasks while preserving partial revenue splits</t>
  </si>
  <si>
    <t>+5 pts</t>
  </si>
  <si>
    <t>Delay Iteration 3 by 3 days</t>
  </si>
  <si>
    <t>Addressed an incident where translators dropped out mid-chapter, blocking project completion.</t>
  </si>
  <si>
    <t>C-004</t>
  </si>
  <si>
    <t>Upgrade Chapter Upload to support direct Folder uploads (deprecated strict .zip/.cbz)</t>
  </si>
  <si>
    <t>SRS v1.1, WBS #10, chapterFolderUpload.js</t>
  </si>
  <si>
    <t>Rewrite upload component to use webkitdirectory, parsing relative paths directly in browser</t>
  </si>
  <si>
    <t>+6 pts</t>
  </si>
  <si>
    <t>Delay Iteration 3 by 2 days</t>
  </si>
  <si>
    <t>Authors had issues packaging correct ZIP structures. Direct folder upload greatly improves UX.</t>
  </si>
  <si>
    <t>C-005</t>
  </si>
  <si>
    <t>Replace HTTP polling with STOMP WebSockets for Community Chat</t>
  </si>
  <si>
    <t>Architecture, WBS #9, StompService.js</t>
  </si>
  <si>
    <t>Implement STOMP client; configure Spring Boot WebSocket message broker</t>
  </si>
  <si>
    <t>+4 pts</t>
  </si>
  <si>
    <t>Absorbed within Iteration 4 buffer</t>
  </si>
  <si>
    <t>HTTP polling was overloading the server and causing 429 Rate Limit errors.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</si>
</sst>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&quot;%&quot;"/>
    <numFmt numFmtId="166" formatCode="yyyy-mm-dd"/>
  </numFmts>
  <fonts count="23">
    <font>
      <sz val="11.0"/>
      <color theme="1"/>
      <name val="Calibri"/>
      <scheme val="minor"/>
    </font>
    <font>
      <b/>
      <sz val="16.0"/>
      <color rgb="FF1F3864"/>
      <name val="Arial"/>
    </font>
    <font>
      <b/>
      <sz val="14.0"/>
      <color rgb="FF1F3864"/>
      <name val="Arial"/>
    </font>
    <font>
      <sz val="9.0"/>
      <color rgb="FF595959"/>
      <name val="Arial"/>
    </font>
    <font>
      <sz val="11.0"/>
      <color theme="1"/>
      <name val="Calibri"/>
    </font>
    <font>
      <sz val="12.0"/>
      <color rgb="FF595959"/>
      <name val="Arial"/>
    </font>
    <font>
      <b/>
      <sz val="10.0"/>
      <color rgb="FFFFFFFF"/>
      <name val="Arial"/>
    </font>
    <font>
      <sz val="12.0"/>
      <color rgb="FFFFFFFF"/>
      <name val="Google Sans Mono"/>
    </font>
    <font>
      <color theme="1"/>
      <name val="Arial"/>
    </font>
    <font/>
    <font>
      <b/>
      <sz val="12.0"/>
      <color rgb="FFFFFFFF"/>
      <name val="Arial"/>
    </font>
    <font>
      <sz val="11.0"/>
      <color rgb="FF000000"/>
      <name val="&quot;Segoe WPC&quot;"/>
    </font>
    <font>
      <sz val="11.0"/>
      <color rgb="FF000000"/>
      <name val="Arial"/>
    </font>
    <font>
      <b/>
      <sz val="10.0"/>
      <color rgb="FF1F3864"/>
      <name val="Arial"/>
    </font>
    <font>
      <sz val="9.0"/>
      <color rgb="FFFFFFFF"/>
      <name val="Google Sans Mono"/>
    </font>
    <font>
      <sz val="10.0"/>
      <color rgb="FF000000"/>
      <name val="Arial"/>
    </font>
    <font>
      <b/>
      <sz val="16.0"/>
      <color rgb="FFFFFFFF"/>
      <name val="Arial"/>
    </font>
    <font>
      <sz val="12.0"/>
      <color theme="1"/>
      <name val="Calibri"/>
      <scheme val="minor"/>
    </font>
    <font>
      <b/>
      <sz val="12.0"/>
      <color rgb="FF1F3864"/>
      <name val="Arial"/>
    </font>
    <font>
      <b/>
      <sz val="10.0"/>
      <color rgb="FF000000"/>
      <name val="Arial"/>
    </font>
    <font>
      <color theme="1"/>
      <name val="Calibri"/>
      <scheme val="minor"/>
    </font>
    <font>
      <i/>
      <sz val="9.0"/>
      <color rgb="FF595959"/>
      <name val="Arial"/>
    </font>
    <font>
      <color rgb="FF000000"/>
      <name val="Ui-monospace"/>
    </font>
  </fonts>
  <fills count="2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1F3864"/>
        <bgColor rgb="FF1F3864"/>
      </patternFill>
    </fill>
    <fill>
      <patternFill patternType="solid">
        <fgColor rgb="FFC00000"/>
        <bgColor rgb="FFC00000"/>
      </patternFill>
    </fill>
    <fill>
      <patternFill patternType="solid">
        <fgColor rgb="FF2E75B6"/>
        <bgColor rgb="FF2E75B6"/>
      </patternFill>
    </fill>
    <fill>
      <patternFill patternType="solid">
        <fgColor rgb="FF7F6000"/>
        <bgColor rgb="FF7F6000"/>
      </patternFill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843C0C"/>
        <bgColor rgb="FF843C0C"/>
      </patternFill>
    </fill>
    <fill>
      <patternFill patternType="solid">
        <fgColor rgb="FFD6EEF0"/>
        <bgColor rgb="FFD6EEF0"/>
      </patternFill>
    </fill>
    <fill>
      <patternFill patternType="solid">
        <fgColor rgb="FFFF0000"/>
        <bgColor rgb="FFFF0000"/>
      </patternFill>
    </fill>
    <fill>
      <patternFill patternType="solid">
        <fgColor rgb="FF5C3292"/>
        <bgColor rgb="FF5C3292"/>
      </patternFill>
    </fill>
    <fill>
      <patternFill patternType="solid">
        <fgColor rgb="FFEBE2F5"/>
        <bgColor rgb="FFEBE2F5"/>
      </patternFill>
    </fill>
    <fill>
      <patternFill patternType="solid">
        <fgColor rgb="FF595959"/>
        <bgColor rgb="FF595959"/>
      </patternFill>
    </fill>
    <fill>
      <patternFill patternType="solid">
        <fgColor rgb="FFE2EFDA"/>
        <bgColor rgb="FFE2EFDA"/>
      </patternFill>
    </fill>
  </fills>
  <borders count="9">
    <border/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4" numFmtId="0" xfId="0" applyFont="1"/>
    <xf borderId="0" fillId="0" fontId="2" numFmtId="0" xfId="0" applyAlignment="1" applyFont="1">
      <alignment horizontal="left" vertical="center"/>
    </xf>
    <xf borderId="1" fillId="2" fontId="5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3" fontId="3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shrinkToFit="0" vertical="bottom" wrapText="1"/>
    </xf>
    <xf borderId="2" fillId="6" fontId="6" numFmtId="0" xfId="0" applyAlignment="1" applyBorder="1" applyFont="1">
      <alignment horizontal="center" shrinkToFit="0" vertical="center" wrapText="1"/>
    </xf>
    <xf borderId="5" fillId="7" fontId="6" numFmtId="0" xfId="0" applyAlignment="1" applyBorder="1" applyFill="1" applyFont="1">
      <alignment horizontal="left" vertical="center"/>
    </xf>
    <xf borderId="4" fillId="0" fontId="8" numFmtId="0" xfId="0" applyAlignment="1" applyBorder="1" applyFont="1">
      <alignment horizontal="right" shrinkToFit="0" vertical="bottom" wrapText="1"/>
    </xf>
    <xf borderId="6" fillId="0" fontId="9" numFmtId="0" xfId="0" applyBorder="1" applyFont="1"/>
    <xf borderId="1" fillId="8" fontId="10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horizontal="right" shrinkToFit="0" vertical="bottom" wrapText="1"/>
    </xf>
    <xf borderId="4" fillId="9" fontId="11" numFmtId="0" xfId="0" applyAlignment="1" applyBorder="1" applyFill="1" applyFont="1">
      <alignment horizontal="left" readingOrder="0" shrinkToFit="0" wrapText="1"/>
    </xf>
    <xf borderId="1" fillId="5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bottom"/>
    </xf>
    <xf borderId="7" fillId="0" fontId="9" numFmtId="0" xfId="0" applyBorder="1" applyFont="1"/>
    <xf borderId="4" fillId="9" fontId="12" numFmtId="164" xfId="0" applyAlignment="1" applyBorder="1" applyFont="1" applyNumberFormat="1">
      <alignment horizontal="left" readingOrder="0" shrinkToFit="0" wrapText="1"/>
    </xf>
    <xf borderId="4" fillId="0" fontId="8" numFmtId="0" xfId="0" applyAlignment="1" applyBorder="1" applyFont="1">
      <alignment shrinkToFit="0" vertical="bottom" wrapText="1"/>
    </xf>
    <xf borderId="8" fillId="10" fontId="13" numFmtId="0" xfId="0" applyAlignment="1" applyBorder="1" applyFill="1" applyFont="1">
      <alignment horizontal="center" shrinkToFit="0" vertical="center" wrapText="1"/>
    </xf>
    <xf borderId="1" fillId="3" fontId="14" numFmtId="0" xfId="0" applyAlignment="1" applyBorder="1" applyFont="1">
      <alignment horizontal="center" readingOrder="0" vertical="center"/>
    </xf>
    <xf borderId="8" fillId="11" fontId="15" numFmtId="0" xfId="0" applyAlignment="1" applyBorder="1" applyFill="1" applyFont="1">
      <alignment horizontal="left" shrinkToFit="0" vertical="center" wrapText="1"/>
    </xf>
    <xf borderId="8" fillId="11" fontId="15" numFmtId="0" xfId="0" applyAlignment="1" applyBorder="1" applyFont="1">
      <alignment horizontal="left" readingOrder="0" shrinkToFit="0" vertical="center" wrapText="1"/>
    </xf>
    <xf borderId="1" fillId="3" fontId="16" numFmtId="0" xfId="0" applyAlignment="1" applyBorder="1" applyFont="1">
      <alignment horizontal="center" vertical="center"/>
    </xf>
    <xf borderId="8" fillId="11" fontId="15" numFmtId="0" xfId="0" applyAlignment="1" applyBorder="1" applyFont="1">
      <alignment horizontal="center" readingOrder="0" shrinkToFit="0" vertical="center" wrapText="1"/>
    </xf>
    <xf borderId="0" fillId="0" fontId="17" numFmtId="0" xfId="0" applyFont="1"/>
    <xf borderId="8" fillId="11" fontId="15" numFmtId="0" xfId="0" applyAlignment="1" applyBorder="1" applyFont="1">
      <alignment horizontal="center" shrinkToFit="0" vertical="center" wrapText="1"/>
    </xf>
    <xf borderId="4" fillId="9" fontId="12" numFmtId="0" xfId="0" applyAlignment="1" applyBorder="1" applyFont="1">
      <alignment horizontal="left" readingOrder="0" shrinkToFit="0" wrapText="1"/>
    </xf>
    <xf borderId="1" fillId="3" fontId="5" numFmtId="0" xfId="0" applyAlignment="1" applyBorder="1" applyFont="1">
      <alignment horizontal="center" shrinkToFit="0" vertical="center" wrapText="1"/>
    </xf>
    <xf borderId="4" fillId="9" fontId="11" numFmtId="164" xfId="0" applyAlignment="1" applyBorder="1" applyFont="1" applyNumberFormat="1">
      <alignment horizontal="left" readingOrder="0" shrinkToFit="0" wrapText="1"/>
    </xf>
    <xf borderId="4" fillId="3" fontId="11" numFmtId="0" xfId="0" applyAlignment="1" applyBorder="1" applyFont="1">
      <alignment horizontal="left" readingOrder="0" shrinkToFit="0" wrapText="1"/>
    </xf>
    <xf borderId="8" fillId="12" fontId="15" numFmtId="165" xfId="0" applyAlignment="1" applyBorder="1" applyFill="1" applyFont="1" applyNumberFormat="1">
      <alignment horizontal="center" shrinkToFit="0" vertical="center" wrapText="1"/>
    </xf>
    <xf borderId="4" fillId="3" fontId="11" numFmtId="164" xfId="0" applyAlignment="1" applyBorder="1" applyFont="1" applyNumberFormat="1">
      <alignment horizontal="left" readingOrder="0" shrinkToFit="0" wrapText="1"/>
    </xf>
    <xf borderId="1" fillId="6" fontId="10" numFmtId="0" xfId="0" applyAlignment="1" applyBorder="1" applyFont="1">
      <alignment horizontal="center" vertical="center"/>
    </xf>
    <xf borderId="1" fillId="13" fontId="7" numFmtId="0" xfId="0" applyAlignment="1" applyBorder="1" applyFill="1" applyFont="1">
      <alignment horizontal="center" readingOrder="0" vertical="center"/>
    </xf>
    <xf borderId="8" fillId="2" fontId="15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horizontal="center" vertical="center"/>
    </xf>
    <xf borderId="0" fillId="0" fontId="18" numFmtId="0" xfId="0" applyFont="1"/>
    <xf borderId="4" fillId="3" fontId="12" numFmtId="0" xfId="0" applyAlignment="1" applyBorder="1" applyFont="1">
      <alignment horizontal="left" readingOrder="0" shrinkToFit="0" wrapText="1"/>
    </xf>
    <xf borderId="4" fillId="0" fontId="8" numFmtId="0" xfId="0" applyAlignment="1" applyBorder="1" applyFont="1">
      <alignment shrinkToFit="0" vertical="bottom" wrapText="1"/>
    </xf>
    <xf borderId="4" fillId="0" fontId="8" numFmtId="0" xfId="0" applyAlignment="1" applyBorder="1" applyFont="1">
      <alignment horizontal="right" shrinkToFit="0" vertical="bottom" wrapText="1"/>
    </xf>
    <xf borderId="8" fillId="11" fontId="13" numFmtId="0" xfId="0" applyAlignment="1" applyBorder="1" applyFont="1">
      <alignment horizontal="left" shrinkToFit="0" vertical="center" wrapText="1"/>
    </xf>
    <xf borderId="8" fillId="3" fontId="15" numFmtId="0" xfId="0" applyAlignment="1" applyBorder="1" applyFont="1">
      <alignment horizontal="left" readingOrder="0" shrinkToFit="0" vertical="center" wrapText="1"/>
    </xf>
    <xf borderId="8" fillId="3" fontId="13" numFmtId="0" xfId="0" applyAlignment="1" applyBorder="1" applyFont="1">
      <alignment horizontal="left" shrinkToFit="0" vertical="center" wrapText="1"/>
    </xf>
    <xf borderId="8" fillId="3" fontId="15" numFmtId="0" xfId="0" applyAlignment="1" applyBorder="1" applyFont="1">
      <alignment horizontal="left" shrinkToFit="0" vertical="center" wrapText="1"/>
    </xf>
    <xf borderId="8" fillId="3" fontId="15" numFmtId="0" xfId="0" applyAlignment="1" applyBorder="1" applyFont="1">
      <alignment horizontal="center" shrinkToFit="0" vertical="center" wrapText="1"/>
    </xf>
    <xf borderId="8" fillId="3" fontId="15" numFmtId="0" xfId="0" applyAlignment="1" applyBorder="1" applyFont="1">
      <alignment horizontal="center" readingOrder="0" shrinkToFit="0" vertical="center" wrapText="1"/>
    </xf>
    <xf borderId="2" fillId="7" fontId="6" numFmtId="0" xfId="0" applyAlignment="1" applyBorder="1" applyFont="1">
      <alignment horizontal="center" shrinkToFit="0" vertical="center" wrapText="1"/>
    </xf>
    <xf borderId="2" fillId="7" fontId="19" numFmtId="0" xfId="0" applyAlignment="1" applyBorder="1" applyFont="1">
      <alignment horizontal="center" readingOrder="0" shrinkToFit="0" vertical="center" wrapText="1"/>
    </xf>
    <xf borderId="4" fillId="3" fontId="13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center" vertical="bottom"/>
    </xf>
    <xf borderId="4" fillId="0" fontId="8" numFmtId="9" xfId="0" applyAlignment="1" applyBorder="1" applyFont="1" applyNumberFormat="1">
      <alignment horizontal="center" vertical="bottom"/>
    </xf>
    <xf borderId="4" fillId="11" fontId="13" numFmtId="0" xfId="0" applyAlignment="1" applyBorder="1" applyFont="1">
      <alignment horizontal="left" shrinkToFit="0" vertical="center" wrapText="1"/>
    </xf>
    <xf borderId="4" fillId="11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readingOrder="0" shrinkToFit="0" vertical="bottom" wrapText="1"/>
    </xf>
    <xf borderId="4" fillId="11" fontId="8" numFmtId="9" xfId="0" applyAlignment="1" applyBorder="1" applyFont="1" applyNumberFormat="1">
      <alignment horizontal="center" vertical="bottom"/>
    </xf>
    <xf borderId="4" fillId="14" fontId="13" numFmtId="0" xfId="0" applyAlignment="1" applyBorder="1" applyFill="1" applyFont="1">
      <alignment horizontal="left" readingOrder="0" shrinkToFit="0" vertical="center" wrapText="1"/>
    </xf>
    <xf borderId="4" fillId="14" fontId="8" numFmtId="0" xfId="0" applyAlignment="1" applyBorder="1" applyFont="1">
      <alignment horizontal="center" vertical="bottom"/>
    </xf>
    <xf borderId="0" fillId="0" fontId="20" numFmtId="0" xfId="0" applyAlignment="1" applyFont="1">
      <alignment vertical="center"/>
    </xf>
    <xf borderId="4" fillId="14" fontId="8" numFmtId="9" xfId="0" applyAlignment="1" applyBorder="1" applyFont="1" applyNumberFormat="1">
      <alignment horizontal="center" vertical="bottom"/>
    </xf>
    <xf borderId="5" fillId="2" fontId="21" numFmtId="0" xfId="0" applyAlignment="1" applyBorder="1" applyFont="1">
      <alignment horizontal="center" readingOrder="0" shrinkToFit="0" vertical="center" wrapText="1"/>
    </xf>
    <xf borderId="4" fillId="9" fontId="22" numFmtId="0" xfId="0" applyAlignment="1" applyBorder="1" applyFont="1">
      <alignment horizontal="left" readingOrder="0" shrinkToFit="0" wrapText="1"/>
    </xf>
    <xf borderId="4" fillId="9" fontId="11" numFmtId="0" xfId="0" applyAlignment="1" applyBorder="1" applyFont="1">
      <alignment readingOrder="0" shrinkToFit="0" wrapText="1"/>
    </xf>
    <xf borderId="4" fillId="9" fontId="22" numFmtId="0" xfId="0" applyAlignment="1" applyBorder="1" applyFont="1">
      <alignment readingOrder="0" shrinkToFit="0" wrapText="1"/>
    </xf>
    <xf borderId="4" fillId="9" fontId="12" numFmtId="0" xfId="0" applyAlignment="1" applyBorder="1" applyFont="1">
      <alignment readingOrder="0" shrinkToFit="0" wrapText="1"/>
    </xf>
    <xf borderId="4" fillId="3" fontId="11" numFmtId="0" xfId="0" applyAlignment="1" applyBorder="1" applyFont="1">
      <alignment readingOrder="0" shrinkToFit="0" wrapText="1"/>
    </xf>
    <xf borderId="4" fillId="3" fontId="12" numFmtId="0" xfId="0" applyAlignment="1" applyBorder="1" applyFont="1">
      <alignment readingOrder="0" shrinkToFit="0" wrapText="1"/>
    </xf>
    <xf borderId="4" fillId="15" fontId="12" numFmtId="0" xfId="0" applyAlignment="1" applyBorder="1" applyFill="1" applyFont="1">
      <alignment readingOrder="0" shrinkToFit="0" wrapText="1"/>
    </xf>
    <xf borderId="2" fillId="16" fontId="6" numFmtId="0" xfId="0" applyAlignment="1" applyBorder="1" applyFill="1" applyFont="1">
      <alignment horizontal="center" shrinkToFit="0" vertical="center" wrapText="1"/>
    </xf>
    <xf borderId="4" fillId="17" fontId="8" numFmtId="0" xfId="0" applyAlignment="1" applyBorder="1" applyFill="1" applyFont="1">
      <alignment shrinkToFit="0" vertical="bottom" wrapText="1"/>
    </xf>
    <xf borderId="4" fillId="17" fontId="8" numFmtId="166" xfId="0" applyAlignment="1" applyBorder="1" applyFont="1" applyNumberFormat="1">
      <alignment horizontal="right" shrinkToFit="0" vertical="bottom" wrapText="1"/>
    </xf>
    <xf borderId="4" fillId="0" fontId="8" numFmtId="166" xfId="0" applyAlignment="1" applyBorder="1" applyFont="1" applyNumberFormat="1">
      <alignment horizontal="right" shrinkToFit="0" vertical="bottom" wrapText="1"/>
    </xf>
    <xf borderId="3" fillId="13" fontId="6" numFmtId="0" xfId="0" applyAlignment="1" applyBorder="1" applyFont="1">
      <alignment horizontal="center" shrinkToFit="0" vertical="center" wrapText="1"/>
    </xf>
    <xf borderId="8" fillId="2" fontId="15" numFmtId="0" xfId="0" applyAlignment="1" applyBorder="1" applyFont="1">
      <alignment horizontal="center" shrinkToFit="0" vertical="center" wrapText="1"/>
    </xf>
    <xf borderId="0" fillId="0" fontId="20" numFmtId="0" xfId="0" applyFont="1"/>
    <xf borderId="0" fillId="9" fontId="8" numFmtId="0" xfId="0" applyAlignment="1" applyFont="1">
      <alignment shrinkToFit="0" vertical="bottom" wrapText="1"/>
    </xf>
    <xf borderId="0" fillId="9" fontId="8" numFmtId="0" xfId="0" applyAlignment="1" applyFont="1">
      <alignment horizontal="right" shrinkToFit="0" vertical="bottom" wrapText="1"/>
    </xf>
    <xf borderId="0" fillId="0" fontId="8" numFmtId="0" xfId="0" applyAlignment="1" applyFont="1">
      <alignment shrinkToFit="0" vertical="bottom" wrapText="1"/>
    </xf>
    <xf borderId="8" fillId="9" fontId="15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right" shrinkToFit="0" vertical="bottom" wrapText="1"/>
    </xf>
    <xf borderId="0" fillId="0" fontId="8" numFmtId="0" xfId="0" applyAlignment="1" applyFont="1">
      <alignment shrinkToFit="0" vertical="bottom" wrapText="1"/>
    </xf>
    <xf borderId="0" fillId="9" fontId="8" numFmtId="0" xfId="0" applyAlignment="1" applyFont="1">
      <alignment shrinkToFit="0" vertical="bottom" wrapText="1"/>
    </xf>
    <xf borderId="0" fillId="9" fontId="8" numFmtId="0" xfId="0" applyAlignment="1" applyFont="1">
      <alignment horizontal="right" shrinkToFit="0" vertical="bottom" wrapText="1"/>
    </xf>
    <xf borderId="0" fillId="0" fontId="8" numFmtId="0" xfId="0" applyAlignment="1" applyFont="1">
      <alignment horizontal="right" shrinkToFit="0" vertical="bottom" wrapText="1"/>
    </xf>
    <xf borderId="0" fillId="9" fontId="8" numFmtId="0" xfId="0" applyAlignment="1" applyFont="1">
      <alignment readingOrder="0" shrinkToFit="0" vertical="bottom" wrapText="1"/>
    </xf>
    <xf borderId="4" fillId="3" fontId="12" numFmtId="164" xfId="0" applyAlignment="1" applyBorder="1" applyFont="1" applyNumberFormat="1">
      <alignment horizontal="left" readingOrder="0" shrinkToFit="0" wrapText="1"/>
    </xf>
    <xf borderId="4" fillId="0" fontId="8" numFmtId="0" xfId="0" applyAlignment="1" applyBorder="1" applyFont="1">
      <alignment readingOrder="0" shrinkToFit="0" wrapText="1"/>
    </xf>
    <xf borderId="4" fillId="0" fontId="8" numFmtId="164" xfId="0" applyAlignment="1" applyBorder="1" applyFont="1" applyNumberFormat="1">
      <alignment readingOrder="0" shrinkToFit="0" wrapText="1"/>
    </xf>
    <xf borderId="0" fillId="0" fontId="20" numFmtId="0" xfId="0" applyAlignment="1" applyFont="1">
      <alignment shrinkToFit="0" wrapText="1"/>
    </xf>
    <xf borderId="4" fillId="9" fontId="8" numFmtId="0" xfId="0" applyAlignment="1" applyBorder="1" applyFont="1">
      <alignment readingOrder="0" shrinkToFit="0" wrapText="1"/>
    </xf>
    <xf borderId="4" fillId="9" fontId="8" numFmtId="164" xfId="0" applyAlignment="1" applyBorder="1" applyFont="1" applyNumberFormat="1">
      <alignment readingOrder="0" shrinkToFit="0" wrapText="1"/>
    </xf>
    <xf borderId="2" fillId="18" fontId="6" numFmtId="0" xfId="0" applyAlignment="1" applyBorder="1" applyFill="1" applyFont="1">
      <alignment horizontal="center" shrinkToFit="0" vertical="center" wrapText="1"/>
    </xf>
    <xf borderId="4" fillId="19" fontId="8" numFmtId="0" xfId="0" applyAlignment="1" applyBorder="1" applyFill="1" applyFont="1">
      <alignment shrinkToFit="0" vertical="bottom" wrapText="1"/>
    </xf>
    <xf borderId="4" fillId="19" fontId="8" numFmtId="166" xfId="0" applyAlignment="1" applyBorder="1" applyFont="1" applyNumberFormat="1">
      <alignment horizontal="right" shrinkToFit="0" vertical="bottom" wrapText="1"/>
    </xf>
    <xf borderId="4" fillId="19" fontId="8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5"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D6EEF0"/>
          <bgColor rgb="FFD6EEF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22.0"/>
    <col customWidth="1" min="3" max="3" width="40.29"/>
    <col customWidth="1" min="4" max="4" width="14.0"/>
    <col customWidth="1" min="5" max="5" width="15.57"/>
    <col customWidth="1" min="6" max="7" width="14.0"/>
    <col customWidth="1" min="8" max="8" width="22.0"/>
    <col customWidth="1" min="9" max="26" width="8.71"/>
  </cols>
  <sheetData>
    <row r="1" ht="14.25" customHeight="1">
      <c r="B1" s="1"/>
    </row>
    <row r="2" ht="14.25" customHeight="1">
      <c r="B2" s="3"/>
    </row>
    <row r="3" ht="14.25" customHeight="1"/>
    <row r="4" ht="14.25" customHeight="1">
      <c r="B4" s="6" t="s">
        <v>2</v>
      </c>
      <c r="C4" s="6" t="s">
        <v>3</v>
      </c>
      <c r="D4" s="6" t="s">
        <v>4</v>
      </c>
      <c r="E4" s="6" t="s">
        <v>5</v>
      </c>
      <c r="F4" s="8"/>
      <c r="G4" s="8"/>
    </row>
    <row r="5" ht="14.25" customHeight="1">
      <c r="B5" s="11">
        <v>52.0</v>
      </c>
      <c r="C5" s="12">
        <v>18.0</v>
      </c>
      <c r="D5" s="18">
        <f>COUNTIF(Scope!F5:F200,"In Progress")</f>
        <v>0</v>
      </c>
      <c r="E5" s="21">
        <v>0.0</v>
      </c>
      <c r="F5" s="27"/>
      <c r="G5" s="30"/>
    </row>
    <row r="6" ht="14.25" customHeight="1">
      <c r="B6" s="32"/>
      <c r="C6" s="32"/>
      <c r="D6" s="32"/>
      <c r="E6" s="32"/>
    </row>
    <row r="7" ht="14.25" customHeight="1">
      <c r="B7" s="6" t="s">
        <v>94</v>
      </c>
      <c r="C7" s="6" t="s">
        <v>2</v>
      </c>
      <c r="D7" s="6" t="s">
        <v>96</v>
      </c>
      <c r="E7" s="35"/>
    </row>
    <row r="8" ht="14.25" customHeight="1">
      <c r="B8" s="11">
        <v>6.0</v>
      </c>
      <c r="C8" s="40">
        <f>COUNTIF(Defects!H5:H192,"Open")+COUNTIF(Defects!H5:H192,"Pending")</f>
        <v>0</v>
      </c>
      <c r="D8" s="41">
        <v>26.0</v>
      </c>
      <c r="E8" s="43"/>
    </row>
    <row r="9" ht="14.25" customHeight="1"/>
    <row r="10" ht="14.25" customHeight="1"/>
    <row r="11" ht="14.25" customHeight="1">
      <c r="B11" s="44" t="s">
        <v>138</v>
      </c>
    </row>
    <row r="12" ht="14.25" customHeight="1">
      <c r="B12" s="10" t="s">
        <v>144</v>
      </c>
      <c r="C12" s="10" t="s">
        <v>145</v>
      </c>
      <c r="D12" s="10" t="s">
        <v>22</v>
      </c>
      <c r="E12" s="10" t="s">
        <v>17</v>
      </c>
      <c r="F12" s="10" t="s">
        <v>20</v>
      </c>
    </row>
    <row r="13" ht="14.25" customHeight="1">
      <c r="B13" s="48" t="s">
        <v>149</v>
      </c>
      <c r="C13" s="28" t="s">
        <v>157</v>
      </c>
      <c r="D13" s="33" t="s">
        <v>89</v>
      </c>
      <c r="E13" s="49" t="s">
        <v>81</v>
      </c>
      <c r="F13" s="31" t="s">
        <v>170</v>
      </c>
    </row>
    <row r="14" ht="14.25" customHeight="1">
      <c r="B14" s="50" t="s">
        <v>176</v>
      </c>
      <c r="C14" s="51" t="s">
        <v>181</v>
      </c>
      <c r="D14" s="52" t="s">
        <v>183</v>
      </c>
      <c r="E14" s="49" t="s">
        <v>81</v>
      </c>
      <c r="F14" s="31" t="s">
        <v>170</v>
      </c>
    </row>
    <row r="15" ht="14.25" customHeight="1">
      <c r="B15" s="48" t="s">
        <v>191</v>
      </c>
      <c r="C15" s="28" t="s">
        <v>193</v>
      </c>
      <c r="D15" s="33" t="s">
        <v>195</v>
      </c>
      <c r="E15" s="49" t="s">
        <v>81</v>
      </c>
      <c r="F15" s="31" t="s">
        <v>170</v>
      </c>
    </row>
    <row r="16" ht="14.25" customHeight="1">
      <c r="B16" s="50" t="s">
        <v>198</v>
      </c>
      <c r="C16" s="51" t="s">
        <v>200</v>
      </c>
      <c r="D16" s="52" t="s">
        <v>202</v>
      </c>
      <c r="E16" s="49" t="s">
        <v>162</v>
      </c>
      <c r="F16" s="31" t="s">
        <v>170</v>
      </c>
    </row>
    <row r="17" ht="14.25" customHeight="1">
      <c r="B17" s="48" t="s">
        <v>207</v>
      </c>
      <c r="C17" s="28" t="s">
        <v>208</v>
      </c>
      <c r="D17" s="33" t="s">
        <v>210</v>
      </c>
      <c r="E17" s="49" t="s">
        <v>83</v>
      </c>
      <c r="F17" s="31" t="s">
        <v>170</v>
      </c>
    </row>
    <row r="18" ht="14.25" customHeight="1">
      <c r="B18" s="50" t="s">
        <v>220</v>
      </c>
      <c r="C18" s="51" t="s">
        <v>226</v>
      </c>
      <c r="D18" s="52" t="s">
        <v>227</v>
      </c>
      <c r="E18" s="49"/>
      <c r="F18" s="31" t="s">
        <v>230</v>
      </c>
    </row>
    <row r="19" ht="14.25" customHeight="1"/>
    <row r="20" ht="14.25" customHeight="1">
      <c r="B20" s="44" t="s">
        <v>233</v>
      </c>
    </row>
    <row r="21" ht="14.25" customHeight="1">
      <c r="B21" s="54" t="s">
        <v>242</v>
      </c>
      <c r="C21" s="54" t="s">
        <v>243</v>
      </c>
      <c r="D21" s="54" t="s">
        <v>15</v>
      </c>
      <c r="E21" s="54" t="s">
        <v>52</v>
      </c>
      <c r="F21" s="55" t="s">
        <v>4</v>
      </c>
      <c r="G21" s="54" t="s">
        <v>23</v>
      </c>
    </row>
    <row r="22" ht="14.25" customHeight="1">
      <c r="B22" s="56" t="s">
        <v>49</v>
      </c>
      <c r="C22" s="57">
        <v>5.0</v>
      </c>
      <c r="D22" s="57">
        <v>36.0</v>
      </c>
      <c r="E22" s="57">
        <v>5.0</v>
      </c>
      <c r="F22" s="57">
        <v>0.0</v>
      </c>
      <c r="G22" s="58">
        <v>1.0</v>
      </c>
    </row>
    <row r="23" ht="14.25" customHeight="1">
      <c r="B23" s="59" t="s">
        <v>95</v>
      </c>
      <c r="C23" s="60">
        <v>6.0</v>
      </c>
      <c r="D23" s="60">
        <v>29.0</v>
      </c>
      <c r="E23" s="60">
        <v>6.0</v>
      </c>
      <c r="F23" s="60">
        <v>0.0</v>
      </c>
      <c r="G23" s="62">
        <v>1.0</v>
      </c>
    </row>
    <row r="24" ht="14.25" customHeight="1">
      <c r="B24" s="56" t="s">
        <v>102</v>
      </c>
      <c r="C24" s="57">
        <v>6.0</v>
      </c>
      <c r="D24" s="57">
        <v>26.0</v>
      </c>
      <c r="E24" s="57">
        <v>6.0</v>
      </c>
      <c r="F24" s="57">
        <v>0.0</v>
      </c>
      <c r="G24" s="58">
        <v>1.0</v>
      </c>
    </row>
    <row r="25" ht="14.25" customHeight="1">
      <c r="B25" s="63" t="s">
        <v>117</v>
      </c>
      <c r="C25" s="64">
        <v>9.0</v>
      </c>
      <c r="D25" s="64">
        <v>43.0</v>
      </c>
      <c r="E25" s="64">
        <v>9.0</v>
      </c>
      <c r="F25" s="64">
        <v>0.0</v>
      </c>
      <c r="G25" s="66">
        <v>1.0</v>
      </c>
    </row>
    <row r="26" ht="14.25" customHeight="1"/>
    <row r="27" ht="14.25" customHeight="1"/>
    <row r="28" ht="14.25" customHeight="1">
      <c r="B28" s="67" t="s">
        <v>306</v>
      </c>
      <c r="C28" s="17"/>
      <c r="D28" s="17"/>
      <c r="E28" s="17"/>
      <c r="F28" s="17"/>
      <c r="G28" s="17"/>
      <c r="H28" s="2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">
    <mergeCell ref="B1:H1"/>
    <mergeCell ref="B2:H2"/>
    <mergeCell ref="B28:H28"/>
  </mergeCells>
  <conditionalFormatting sqref="F13:F26">
    <cfRule type="cellIs" dxfId="0" priority="1" operator="equal">
      <formula>"Done"</formula>
    </cfRule>
  </conditionalFormatting>
  <conditionalFormatting sqref="F13:F26">
    <cfRule type="cellIs" dxfId="0" priority="2" operator="equal">
      <formula>"Completed"</formula>
    </cfRule>
  </conditionalFormatting>
  <conditionalFormatting sqref="F13:F26">
    <cfRule type="cellIs" dxfId="0" priority="3" operator="equal">
      <formula>"Closed"</formula>
    </cfRule>
  </conditionalFormatting>
  <conditionalFormatting sqref="F13:F26">
    <cfRule type="cellIs" dxfId="0" priority="4" operator="equal">
      <formula>"Fixed"</formula>
    </cfRule>
  </conditionalFormatting>
  <conditionalFormatting sqref="F13:F26">
    <cfRule type="cellIs" dxfId="0" priority="5" operator="equal">
      <formula>"Approved"</formula>
    </cfRule>
  </conditionalFormatting>
  <conditionalFormatting sqref="F13:F26">
    <cfRule type="cellIs" dxfId="1" priority="6" operator="equal">
      <formula>"In Progress"</formula>
    </cfRule>
  </conditionalFormatting>
  <conditionalFormatting sqref="F13:F26">
    <cfRule type="cellIs" dxfId="2" priority="7" operator="equal">
      <formula>"Open"</formula>
    </cfRule>
  </conditionalFormatting>
  <conditionalFormatting sqref="F13:F26">
    <cfRule type="cellIs" dxfId="1" priority="8" operator="equal">
      <formula>"Pending"</formula>
    </cfRule>
  </conditionalFormatting>
  <conditionalFormatting sqref="F13:F26">
    <cfRule type="cellIs" dxfId="2" priority="9" operator="equal">
      <formula>"Blocked"</formula>
    </cfRule>
  </conditionalFormatting>
  <conditionalFormatting sqref="F13:F26">
    <cfRule type="cellIs" dxfId="3" priority="10" operator="equal">
      <formula>"Cancelled"</formula>
    </cfRule>
  </conditionalFormatting>
  <conditionalFormatting sqref="F13:F26">
    <cfRule type="cellIs" dxfId="2" priority="11" operator="equal">
      <formula>"Rejected"</formula>
    </cfRule>
  </conditionalFormatting>
  <conditionalFormatting sqref="F13:F26">
    <cfRule type="cellIs" dxfId="4" priority="12" operator="equal">
      <formula>"Submitted"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Col="1"/>
  <cols>
    <col customWidth="1" min="1" max="1" width="7.0"/>
    <col customWidth="1" min="2" max="2" width="40.0"/>
    <col customWidth="1" min="3" max="4" width="16.0"/>
    <col customWidth="1" min="5" max="5" width="10.0"/>
    <col customWidth="1" min="6" max="6" width="12.0"/>
    <col customWidth="1" min="7" max="7" width="14.0"/>
    <col customWidth="1" min="8" max="8" width="16.0"/>
    <col customWidth="1" min="9" max="9" width="13.57"/>
    <col customWidth="1" min="10" max="10" width="16.0"/>
    <col customWidth="1" min="11" max="11" width="33.14"/>
    <col customWidth="1" min="12" max="26" width="8.71"/>
  </cols>
  <sheetData>
    <row r="1" ht="27.75" customHeight="1">
      <c r="A1" s="5" t="s">
        <v>1</v>
      </c>
    </row>
    <row r="2" ht="15.75" customHeight="1">
      <c r="A2" s="3"/>
    </row>
    <row r="3" ht="6.0" customHeight="1"/>
    <row r="4" ht="25.5" customHeight="1">
      <c r="A4" s="10" t="s">
        <v>7</v>
      </c>
      <c r="B4" s="10" t="s">
        <v>14</v>
      </c>
      <c r="C4" s="10" t="s">
        <v>17</v>
      </c>
      <c r="D4" s="10" t="s">
        <v>19</v>
      </c>
      <c r="E4" s="10" t="s">
        <v>22</v>
      </c>
      <c r="F4" s="10" t="s">
        <v>23</v>
      </c>
      <c r="G4" s="10" t="s">
        <v>20</v>
      </c>
      <c r="H4" s="10" t="s">
        <v>25</v>
      </c>
      <c r="I4" s="10" t="s">
        <v>27</v>
      </c>
      <c r="J4" s="10" t="s">
        <v>30</v>
      </c>
      <c r="K4" s="10" t="s">
        <v>21</v>
      </c>
    </row>
    <row r="5" ht="19.5" customHeight="1">
      <c r="A5" s="15" t="s">
        <v>35</v>
      </c>
      <c r="B5" s="17"/>
      <c r="C5" s="17"/>
      <c r="D5" s="17"/>
      <c r="E5" s="17"/>
      <c r="F5" s="17"/>
      <c r="G5" s="17"/>
      <c r="H5" s="17"/>
      <c r="I5" s="17"/>
      <c r="J5" s="17"/>
      <c r="K5" s="23"/>
    </row>
    <row r="6" ht="21.75" customHeight="1">
      <c r="A6" s="26" t="s">
        <v>58</v>
      </c>
      <c r="B6" s="28" t="s">
        <v>67</v>
      </c>
      <c r="C6" s="29" t="s">
        <v>82</v>
      </c>
      <c r="D6" s="31">
        <v>3.0</v>
      </c>
      <c r="E6" s="33" t="s">
        <v>89</v>
      </c>
      <c r="F6" s="38">
        <f>IFERROR(H6/D6*100,"")</f>
        <v>100</v>
      </c>
      <c r="G6" s="42" t="s">
        <v>52</v>
      </c>
      <c r="H6" s="42">
        <v>3.0</v>
      </c>
      <c r="I6" s="28"/>
      <c r="J6" s="29" t="s">
        <v>137</v>
      </c>
      <c r="K6" s="28"/>
    </row>
    <row r="7" ht="19.5" customHeight="1">
      <c r="A7" s="15" t="s">
        <v>141</v>
      </c>
      <c r="B7" s="17"/>
      <c r="C7" s="17"/>
      <c r="D7" s="17"/>
      <c r="E7" s="17"/>
      <c r="F7" s="17"/>
      <c r="G7" s="17"/>
      <c r="H7" s="17"/>
      <c r="I7" s="17"/>
      <c r="J7" s="17"/>
      <c r="K7" s="23"/>
    </row>
    <row r="8" ht="21.75" customHeight="1">
      <c r="A8" s="26" t="s">
        <v>159</v>
      </c>
      <c r="B8" s="28" t="s">
        <v>163</v>
      </c>
      <c r="C8" s="29" t="s">
        <v>82</v>
      </c>
      <c r="D8" s="31">
        <v>11.0</v>
      </c>
      <c r="E8" s="33" t="s">
        <v>169</v>
      </c>
      <c r="F8" s="38">
        <f t="shared" ref="F8:F10" si="1">IFERROR(H8/D8*100,"")</f>
        <v>100</v>
      </c>
      <c r="G8" s="42" t="s">
        <v>52</v>
      </c>
      <c r="H8" s="42">
        <v>11.0</v>
      </c>
      <c r="I8" s="28"/>
      <c r="J8" s="29" t="s">
        <v>137</v>
      </c>
      <c r="K8" s="28"/>
    </row>
    <row r="9" ht="21.75" customHeight="1">
      <c r="A9" s="26" t="s">
        <v>197</v>
      </c>
      <c r="B9" s="51" t="s">
        <v>209</v>
      </c>
      <c r="C9" s="49" t="s">
        <v>215</v>
      </c>
      <c r="D9" s="53">
        <v>10.0</v>
      </c>
      <c r="E9" s="52" t="s">
        <v>183</v>
      </c>
      <c r="F9" s="38">
        <f t="shared" si="1"/>
        <v>80</v>
      </c>
      <c r="G9" s="42" t="s">
        <v>52</v>
      </c>
      <c r="H9" s="42">
        <v>8.0</v>
      </c>
      <c r="I9" s="51"/>
      <c r="J9" s="29" t="s">
        <v>137</v>
      </c>
      <c r="K9" s="51"/>
    </row>
    <row r="10" ht="21.75" customHeight="1">
      <c r="A10" s="26" t="s">
        <v>244</v>
      </c>
      <c r="B10" s="28" t="s">
        <v>246</v>
      </c>
      <c r="C10" s="29" t="s">
        <v>82</v>
      </c>
      <c r="D10" s="31">
        <v>2.0</v>
      </c>
      <c r="E10" s="33" t="s">
        <v>183</v>
      </c>
      <c r="F10" s="38">
        <f t="shared" si="1"/>
        <v>100</v>
      </c>
      <c r="G10" s="42" t="s">
        <v>52</v>
      </c>
      <c r="H10" s="42">
        <v>2.0</v>
      </c>
      <c r="I10" s="28"/>
      <c r="J10" s="29" t="s">
        <v>137</v>
      </c>
      <c r="K10" s="28"/>
    </row>
    <row r="11" ht="19.5" customHeight="1">
      <c r="A11" s="15" t="s">
        <v>262</v>
      </c>
      <c r="B11" s="17"/>
      <c r="C11" s="17"/>
      <c r="D11" s="17"/>
      <c r="E11" s="17"/>
      <c r="F11" s="17"/>
      <c r="G11" s="17"/>
      <c r="H11" s="17"/>
      <c r="I11" s="17"/>
      <c r="J11" s="17"/>
      <c r="K11" s="23"/>
    </row>
    <row r="12" ht="21.75" customHeight="1">
      <c r="A12" s="26" t="s">
        <v>281</v>
      </c>
      <c r="B12" s="28" t="s">
        <v>283</v>
      </c>
      <c r="C12" s="29" t="s">
        <v>215</v>
      </c>
      <c r="D12" s="31">
        <v>12.0</v>
      </c>
      <c r="E12" s="33" t="s">
        <v>287</v>
      </c>
      <c r="F12" s="38">
        <f t="shared" ref="F12:F15" si="2">IFERROR(H12/D12*100,"")</f>
        <v>100</v>
      </c>
      <c r="G12" s="42" t="s">
        <v>52</v>
      </c>
      <c r="H12" s="42">
        <v>12.0</v>
      </c>
      <c r="I12" s="28"/>
      <c r="J12" s="29" t="s">
        <v>137</v>
      </c>
      <c r="K12" s="28"/>
    </row>
    <row r="13" ht="21.75" customHeight="1">
      <c r="A13" s="26" t="s">
        <v>305</v>
      </c>
      <c r="B13" s="51" t="s">
        <v>307</v>
      </c>
      <c r="C13" s="49" t="s">
        <v>82</v>
      </c>
      <c r="D13" s="53">
        <v>10.0</v>
      </c>
      <c r="E13" s="52" t="s">
        <v>287</v>
      </c>
      <c r="F13" s="38">
        <f t="shared" si="2"/>
        <v>80</v>
      </c>
      <c r="G13" s="42" t="s">
        <v>52</v>
      </c>
      <c r="H13" s="42">
        <v>8.0</v>
      </c>
      <c r="I13" s="51"/>
      <c r="J13" s="29" t="s">
        <v>137</v>
      </c>
      <c r="K13" s="51"/>
    </row>
    <row r="14" ht="21.75" customHeight="1">
      <c r="A14" s="26" t="s">
        <v>314</v>
      </c>
      <c r="B14" s="28" t="s">
        <v>315</v>
      </c>
      <c r="C14" s="29" t="s">
        <v>82</v>
      </c>
      <c r="D14" s="31">
        <v>9.0</v>
      </c>
      <c r="E14" s="33" t="s">
        <v>195</v>
      </c>
      <c r="F14" s="38">
        <f t="shared" si="2"/>
        <v>88.88888889</v>
      </c>
      <c r="G14" s="42" t="s">
        <v>52</v>
      </c>
      <c r="H14" s="42">
        <v>8.0</v>
      </c>
      <c r="I14" s="28"/>
      <c r="J14" s="29" t="s">
        <v>137</v>
      </c>
      <c r="K14" s="28"/>
    </row>
    <row r="15" ht="21.75" customHeight="1">
      <c r="A15" s="26" t="s">
        <v>323</v>
      </c>
      <c r="B15" s="51" t="s">
        <v>325</v>
      </c>
      <c r="C15" s="49" t="s">
        <v>82</v>
      </c>
      <c r="D15" s="53">
        <v>8.0</v>
      </c>
      <c r="E15" s="52" t="s">
        <v>195</v>
      </c>
      <c r="F15" s="38">
        <f t="shared" si="2"/>
        <v>87.5</v>
      </c>
      <c r="G15" s="42" t="s">
        <v>52</v>
      </c>
      <c r="H15" s="42">
        <v>7.0</v>
      </c>
      <c r="I15" s="51"/>
      <c r="J15" s="29" t="s">
        <v>137</v>
      </c>
      <c r="K15" s="51"/>
    </row>
    <row r="16" ht="19.5" customHeight="1">
      <c r="A16" s="15" t="s">
        <v>332</v>
      </c>
      <c r="B16" s="17"/>
      <c r="C16" s="17"/>
      <c r="D16" s="17"/>
      <c r="E16" s="17"/>
      <c r="F16" s="17"/>
      <c r="G16" s="17"/>
      <c r="H16" s="17"/>
      <c r="I16" s="17"/>
      <c r="J16" s="17"/>
      <c r="K16" s="23"/>
    </row>
    <row r="17" ht="21.75" customHeight="1">
      <c r="A17" s="26" t="s">
        <v>345</v>
      </c>
      <c r="B17" s="28" t="s">
        <v>346</v>
      </c>
      <c r="C17" s="29" t="s">
        <v>82</v>
      </c>
      <c r="D17" s="31">
        <v>6.0</v>
      </c>
      <c r="E17" s="33" t="s">
        <v>348</v>
      </c>
      <c r="F17" s="38">
        <f t="shared" ref="F17:F22" si="3">IFERROR(H17/D17*100,"")</f>
        <v>100</v>
      </c>
      <c r="G17" s="42" t="s">
        <v>52</v>
      </c>
      <c r="H17" s="42">
        <v>6.0</v>
      </c>
      <c r="I17" s="28"/>
      <c r="J17" s="29" t="s">
        <v>137</v>
      </c>
      <c r="K17" s="28"/>
    </row>
    <row r="18" ht="21.75" customHeight="1">
      <c r="A18" s="26" t="s">
        <v>359</v>
      </c>
      <c r="B18" s="49" t="s">
        <v>362</v>
      </c>
      <c r="C18" s="29" t="s">
        <v>82</v>
      </c>
      <c r="D18" s="53">
        <v>25.0</v>
      </c>
      <c r="E18" s="52" t="s">
        <v>348</v>
      </c>
      <c r="F18" s="38">
        <f t="shared" si="3"/>
        <v>80</v>
      </c>
      <c r="G18" s="42" t="s">
        <v>52</v>
      </c>
      <c r="H18" s="42">
        <v>20.0</v>
      </c>
      <c r="I18" s="51"/>
      <c r="J18" s="29" t="s">
        <v>137</v>
      </c>
      <c r="K18" s="51"/>
    </row>
    <row r="19" ht="21.75" customHeight="1">
      <c r="A19" s="26" t="s">
        <v>364</v>
      </c>
      <c r="B19" s="28" t="s">
        <v>365</v>
      </c>
      <c r="C19" s="29" t="s">
        <v>82</v>
      </c>
      <c r="D19" s="31">
        <v>5.0</v>
      </c>
      <c r="E19" s="33" t="s">
        <v>348</v>
      </c>
      <c r="F19" s="38">
        <f t="shared" si="3"/>
        <v>100</v>
      </c>
      <c r="G19" s="42" t="s">
        <v>52</v>
      </c>
      <c r="H19" s="42">
        <v>5.0</v>
      </c>
      <c r="I19" s="28"/>
      <c r="J19" s="29" t="s">
        <v>137</v>
      </c>
      <c r="K19" s="28"/>
    </row>
    <row r="20" ht="21.75" customHeight="1">
      <c r="A20" s="26" t="s">
        <v>373</v>
      </c>
      <c r="B20" s="51" t="s">
        <v>374</v>
      </c>
      <c r="C20" s="29" t="s">
        <v>82</v>
      </c>
      <c r="D20" s="53">
        <v>5.0</v>
      </c>
      <c r="E20" s="52" t="s">
        <v>376</v>
      </c>
      <c r="F20" s="38">
        <f t="shared" si="3"/>
        <v>80</v>
      </c>
      <c r="G20" s="42" t="s">
        <v>52</v>
      </c>
      <c r="H20" s="42">
        <v>4.0</v>
      </c>
      <c r="I20" s="51"/>
      <c r="J20" s="29" t="s">
        <v>137</v>
      </c>
      <c r="K20" s="51"/>
    </row>
    <row r="21" ht="21.75" customHeight="1">
      <c r="A21" s="26" t="s">
        <v>383</v>
      </c>
      <c r="B21" s="28" t="s">
        <v>384</v>
      </c>
      <c r="C21" s="29" t="s">
        <v>82</v>
      </c>
      <c r="D21" s="31">
        <v>5.0</v>
      </c>
      <c r="E21" s="33" t="s">
        <v>376</v>
      </c>
      <c r="F21" s="38">
        <f t="shared" si="3"/>
        <v>100</v>
      </c>
      <c r="G21" s="42" t="s">
        <v>52</v>
      </c>
      <c r="H21" s="42">
        <v>5.0</v>
      </c>
      <c r="I21" s="28"/>
      <c r="J21" s="29" t="s">
        <v>137</v>
      </c>
      <c r="K21" s="28"/>
    </row>
    <row r="22" ht="21.75" customHeight="1">
      <c r="A22" s="26" t="s">
        <v>391</v>
      </c>
      <c r="B22" s="51" t="s">
        <v>392</v>
      </c>
      <c r="C22" s="29" t="s">
        <v>82</v>
      </c>
      <c r="D22" s="53">
        <v>30.0</v>
      </c>
      <c r="E22" s="52" t="s">
        <v>376</v>
      </c>
      <c r="F22" s="38">
        <f t="shared" si="3"/>
        <v>100</v>
      </c>
      <c r="G22" s="42" t="s">
        <v>52</v>
      </c>
      <c r="H22" s="42">
        <v>30.0</v>
      </c>
      <c r="I22" s="51"/>
      <c r="J22" s="29" t="s">
        <v>137</v>
      </c>
      <c r="K22" s="51"/>
    </row>
    <row r="23" ht="19.5" customHeight="1">
      <c r="A23" s="15" t="s">
        <v>400</v>
      </c>
      <c r="B23" s="17"/>
      <c r="C23" s="17"/>
      <c r="D23" s="17"/>
      <c r="E23" s="17"/>
      <c r="F23" s="17"/>
      <c r="G23" s="17"/>
      <c r="H23" s="17"/>
      <c r="I23" s="17"/>
      <c r="J23" s="17"/>
      <c r="K23" s="23"/>
    </row>
    <row r="24" ht="21.75" customHeight="1">
      <c r="A24" s="26" t="s">
        <v>410</v>
      </c>
      <c r="B24" s="28" t="s">
        <v>412</v>
      </c>
      <c r="C24" s="29" t="s">
        <v>82</v>
      </c>
      <c r="D24" s="31">
        <v>5.0</v>
      </c>
      <c r="E24" s="33" t="s">
        <v>416</v>
      </c>
      <c r="F24" s="38">
        <f t="shared" ref="F24:F29" si="4">IFERROR(H24/D24*100,"")</f>
        <v>100</v>
      </c>
      <c r="G24" s="42" t="s">
        <v>52</v>
      </c>
      <c r="H24" s="42">
        <v>5.0</v>
      </c>
      <c r="I24" s="28"/>
      <c r="J24" s="29" t="s">
        <v>137</v>
      </c>
      <c r="K24" s="28"/>
    </row>
    <row r="25" ht="21.75" customHeight="1">
      <c r="A25" s="26" t="s">
        <v>425</v>
      </c>
      <c r="B25" s="49" t="s">
        <v>428</v>
      </c>
      <c r="C25" s="29" t="s">
        <v>82</v>
      </c>
      <c r="D25" s="53">
        <v>25.0</v>
      </c>
      <c r="E25" s="52" t="s">
        <v>416</v>
      </c>
      <c r="F25" s="38">
        <f t="shared" si="4"/>
        <v>92</v>
      </c>
      <c r="G25" s="42" t="s">
        <v>52</v>
      </c>
      <c r="H25" s="42">
        <v>23.0</v>
      </c>
      <c r="I25" s="51"/>
      <c r="J25" s="29" t="s">
        <v>137</v>
      </c>
      <c r="K25" s="51"/>
    </row>
    <row r="26" ht="21.75" customHeight="1">
      <c r="A26" s="26" t="s">
        <v>436</v>
      </c>
      <c r="B26" s="28" t="s">
        <v>438</v>
      </c>
      <c r="C26" s="29" t="s">
        <v>82</v>
      </c>
      <c r="D26" s="31">
        <v>5.0</v>
      </c>
      <c r="E26" s="33" t="s">
        <v>416</v>
      </c>
      <c r="F26" s="38">
        <f t="shared" si="4"/>
        <v>100</v>
      </c>
      <c r="G26" s="42" t="s">
        <v>52</v>
      </c>
      <c r="H26" s="42">
        <v>5.0</v>
      </c>
      <c r="I26" s="28"/>
      <c r="J26" s="29" t="s">
        <v>137</v>
      </c>
      <c r="K26" s="28"/>
    </row>
    <row r="27" ht="21.75" customHeight="1">
      <c r="A27" s="26" t="s">
        <v>445</v>
      </c>
      <c r="B27" s="51" t="s">
        <v>447</v>
      </c>
      <c r="C27" s="29" t="s">
        <v>82</v>
      </c>
      <c r="D27" s="53">
        <v>5.0</v>
      </c>
      <c r="E27" s="52" t="s">
        <v>448</v>
      </c>
      <c r="F27" s="38">
        <f t="shared" si="4"/>
        <v>80</v>
      </c>
      <c r="G27" s="42" t="s">
        <v>52</v>
      </c>
      <c r="H27" s="42">
        <v>4.0</v>
      </c>
      <c r="I27" s="51"/>
      <c r="J27" s="29" t="s">
        <v>137</v>
      </c>
      <c r="K27" s="51"/>
    </row>
    <row r="28" ht="21.75" customHeight="1">
      <c r="A28" s="26" t="s">
        <v>456</v>
      </c>
      <c r="B28" s="28" t="s">
        <v>458</v>
      </c>
      <c r="C28" s="29" t="s">
        <v>82</v>
      </c>
      <c r="D28" s="31">
        <v>5.0</v>
      </c>
      <c r="E28" s="33" t="s">
        <v>448</v>
      </c>
      <c r="F28" s="38">
        <f t="shared" si="4"/>
        <v>80</v>
      </c>
      <c r="G28" s="42" t="s">
        <v>52</v>
      </c>
      <c r="H28" s="42">
        <v>4.0</v>
      </c>
      <c r="I28" s="28"/>
      <c r="J28" s="29" t="s">
        <v>137</v>
      </c>
      <c r="K28" s="28"/>
    </row>
    <row r="29" ht="21.75" customHeight="1">
      <c r="A29" s="26" t="s">
        <v>464</v>
      </c>
      <c r="B29" s="51" t="s">
        <v>465</v>
      </c>
      <c r="C29" s="29" t="s">
        <v>82</v>
      </c>
      <c r="D29" s="53">
        <v>30.0</v>
      </c>
      <c r="E29" s="52" t="s">
        <v>448</v>
      </c>
      <c r="F29" s="38">
        <f t="shared" si="4"/>
        <v>100</v>
      </c>
      <c r="G29" s="42" t="s">
        <v>52</v>
      </c>
      <c r="H29" s="42">
        <v>30.0</v>
      </c>
      <c r="I29" s="51"/>
      <c r="J29" s="29" t="s">
        <v>137</v>
      </c>
      <c r="K29" s="51"/>
    </row>
    <row r="30" ht="19.5" customHeight="1">
      <c r="A30" s="15" t="s">
        <v>468</v>
      </c>
      <c r="B30" s="17"/>
      <c r="C30" s="17"/>
      <c r="D30" s="17"/>
      <c r="E30" s="17"/>
      <c r="F30" s="17"/>
      <c r="G30" s="17"/>
      <c r="H30" s="17"/>
      <c r="I30" s="17"/>
      <c r="J30" s="17"/>
      <c r="K30" s="23"/>
    </row>
    <row r="31" ht="21.75" customHeight="1">
      <c r="A31" s="26" t="s">
        <v>476</v>
      </c>
      <c r="B31" s="28" t="s">
        <v>478</v>
      </c>
      <c r="C31" s="29" t="s">
        <v>82</v>
      </c>
      <c r="D31" s="31">
        <v>5.0</v>
      </c>
      <c r="E31" s="33" t="s">
        <v>483</v>
      </c>
      <c r="F31" s="38">
        <f t="shared" ref="F31:F36" si="5">IFERROR(H31/D31*100,"")</f>
        <v>100</v>
      </c>
      <c r="G31" s="42" t="s">
        <v>52</v>
      </c>
      <c r="H31" s="42">
        <v>5.0</v>
      </c>
      <c r="I31" s="28"/>
      <c r="J31" s="29" t="s">
        <v>137</v>
      </c>
      <c r="K31" s="28"/>
    </row>
    <row r="32" ht="32.25" customHeight="1">
      <c r="A32" s="26" t="s">
        <v>494</v>
      </c>
      <c r="B32" s="49" t="s">
        <v>496</v>
      </c>
      <c r="C32" s="29" t="s">
        <v>82</v>
      </c>
      <c r="D32" s="53">
        <v>25.0</v>
      </c>
      <c r="E32" s="52" t="s">
        <v>483</v>
      </c>
      <c r="F32" s="38">
        <f t="shared" si="5"/>
        <v>88</v>
      </c>
      <c r="G32" s="42" t="s">
        <v>52</v>
      </c>
      <c r="H32" s="42">
        <v>22.0</v>
      </c>
      <c r="I32" s="51"/>
      <c r="J32" s="29" t="s">
        <v>137</v>
      </c>
      <c r="K32" s="51"/>
    </row>
    <row r="33" ht="34.5" customHeight="1">
      <c r="A33" s="26" t="s">
        <v>502</v>
      </c>
      <c r="B33" s="28" t="s">
        <v>504</v>
      </c>
      <c r="C33" s="29" t="s">
        <v>82</v>
      </c>
      <c r="D33" s="31">
        <v>5.0</v>
      </c>
      <c r="E33" s="33" t="s">
        <v>483</v>
      </c>
      <c r="F33" s="38">
        <f t="shared" si="5"/>
        <v>100</v>
      </c>
      <c r="G33" s="42" t="s">
        <v>52</v>
      </c>
      <c r="H33" s="42">
        <v>5.0</v>
      </c>
      <c r="I33" s="28"/>
      <c r="J33" s="29" t="s">
        <v>137</v>
      </c>
      <c r="K33" s="28"/>
    </row>
    <row r="34" ht="21.75" customHeight="1">
      <c r="A34" s="26" t="s">
        <v>514</v>
      </c>
      <c r="B34" s="51" t="s">
        <v>515</v>
      </c>
      <c r="C34" s="29" t="s">
        <v>82</v>
      </c>
      <c r="D34" s="53">
        <v>5.0</v>
      </c>
      <c r="E34" s="52" t="s">
        <v>202</v>
      </c>
      <c r="F34" s="38">
        <f t="shared" si="5"/>
        <v>100</v>
      </c>
      <c r="G34" s="42" t="s">
        <v>52</v>
      </c>
      <c r="H34" s="42">
        <v>5.0</v>
      </c>
      <c r="I34" s="51"/>
      <c r="J34" s="29" t="s">
        <v>137</v>
      </c>
      <c r="K34" s="51"/>
    </row>
    <row r="35" ht="21.75" customHeight="1">
      <c r="A35" s="26" t="s">
        <v>532</v>
      </c>
      <c r="B35" s="28" t="s">
        <v>534</v>
      </c>
      <c r="C35" s="29" t="s">
        <v>82</v>
      </c>
      <c r="D35" s="31">
        <v>7.0</v>
      </c>
      <c r="E35" s="33" t="s">
        <v>202</v>
      </c>
      <c r="F35" s="38">
        <f t="shared" si="5"/>
        <v>85.71428571</v>
      </c>
      <c r="G35" s="42" t="s">
        <v>52</v>
      </c>
      <c r="H35" s="42">
        <v>6.0</v>
      </c>
      <c r="I35" s="28"/>
      <c r="J35" s="29" t="s">
        <v>137</v>
      </c>
      <c r="K35" s="28"/>
    </row>
    <row r="36" ht="21.75" customHeight="1">
      <c r="A36" s="26" t="s">
        <v>544</v>
      </c>
      <c r="B36" s="51" t="s">
        <v>545</v>
      </c>
      <c r="C36" s="29" t="s">
        <v>82</v>
      </c>
      <c r="D36" s="53">
        <v>25.0</v>
      </c>
      <c r="E36" s="52" t="s">
        <v>202</v>
      </c>
      <c r="F36" s="38">
        <f t="shared" si="5"/>
        <v>100</v>
      </c>
      <c r="G36" s="42" t="s">
        <v>52</v>
      </c>
      <c r="H36" s="42">
        <v>25.0</v>
      </c>
      <c r="I36" s="51"/>
      <c r="J36" s="29" t="s">
        <v>137</v>
      </c>
      <c r="K36" s="51"/>
    </row>
    <row r="37" ht="19.5" customHeight="1">
      <c r="A37" s="15" t="s">
        <v>557</v>
      </c>
      <c r="B37" s="17"/>
      <c r="C37" s="17"/>
      <c r="D37" s="17"/>
      <c r="E37" s="17"/>
      <c r="F37" s="17"/>
      <c r="G37" s="17"/>
      <c r="H37" s="17"/>
      <c r="I37" s="17"/>
      <c r="J37" s="17"/>
      <c r="K37" s="23"/>
    </row>
    <row r="38" ht="21.75" customHeight="1">
      <c r="A38" s="26" t="s">
        <v>579</v>
      </c>
      <c r="B38" s="28" t="s">
        <v>580</v>
      </c>
      <c r="C38" s="29" t="s">
        <v>82</v>
      </c>
      <c r="D38" s="31">
        <v>8.0</v>
      </c>
      <c r="E38" s="33" t="s">
        <v>583</v>
      </c>
      <c r="F38" s="38">
        <f t="shared" ref="F38:F41" si="6">IFERROR(H38/D38*100,"")</f>
        <v>100</v>
      </c>
      <c r="G38" s="42" t="s">
        <v>52</v>
      </c>
      <c r="H38" s="42">
        <v>8.0</v>
      </c>
      <c r="I38" s="28"/>
      <c r="J38" s="29" t="s">
        <v>137</v>
      </c>
      <c r="K38" s="28"/>
    </row>
    <row r="39" ht="21.75" customHeight="1">
      <c r="A39" s="26" t="s">
        <v>610</v>
      </c>
      <c r="B39" s="51" t="s">
        <v>612</v>
      </c>
      <c r="C39" s="51"/>
      <c r="D39" s="53">
        <v>5.0</v>
      </c>
      <c r="E39" s="52" t="s">
        <v>583</v>
      </c>
      <c r="F39" s="38">
        <f t="shared" si="6"/>
        <v>0</v>
      </c>
      <c r="G39" s="80" t="s">
        <v>5</v>
      </c>
      <c r="H39" s="80"/>
      <c r="I39" s="51"/>
      <c r="J39" s="29" t="s">
        <v>137</v>
      </c>
      <c r="K39" s="51"/>
    </row>
    <row r="40" ht="21.75" customHeight="1">
      <c r="A40" s="26" t="s">
        <v>640</v>
      </c>
      <c r="B40" s="28" t="s">
        <v>641</v>
      </c>
      <c r="C40" s="28"/>
      <c r="D40" s="31">
        <v>10.0</v>
      </c>
      <c r="E40" s="33" t="s">
        <v>210</v>
      </c>
      <c r="F40" s="38">
        <f t="shared" si="6"/>
        <v>0</v>
      </c>
      <c r="G40" s="80" t="s">
        <v>5</v>
      </c>
      <c r="H40" s="80"/>
      <c r="I40" s="28"/>
      <c r="J40" s="29" t="s">
        <v>137</v>
      </c>
      <c r="K40" s="28"/>
    </row>
    <row r="41" ht="34.5" customHeight="1">
      <c r="A41" s="26" t="s">
        <v>649</v>
      </c>
      <c r="B41" s="51" t="s">
        <v>650</v>
      </c>
      <c r="C41" s="51"/>
      <c r="D41" s="53">
        <v>7.0</v>
      </c>
      <c r="E41" s="52" t="s">
        <v>210</v>
      </c>
      <c r="F41" s="38">
        <f t="shared" si="6"/>
        <v>0</v>
      </c>
      <c r="G41" s="80" t="s">
        <v>5</v>
      </c>
      <c r="H41" s="80"/>
      <c r="I41" s="51"/>
      <c r="J41" s="29" t="s">
        <v>137</v>
      </c>
      <c r="K41" s="51"/>
    </row>
    <row r="42" ht="19.5" customHeight="1">
      <c r="A42" s="15" t="s">
        <v>660</v>
      </c>
      <c r="B42" s="17"/>
      <c r="C42" s="17"/>
      <c r="D42" s="17"/>
      <c r="E42" s="17"/>
      <c r="F42" s="17"/>
      <c r="G42" s="17"/>
      <c r="H42" s="17"/>
      <c r="I42" s="17"/>
      <c r="J42" s="17"/>
      <c r="K42" s="23"/>
    </row>
    <row r="43" ht="21.75" customHeight="1">
      <c r="A43" s="26" t="s">
        <v>675</v>
      </c>
      <c r="B43" s="28" t="s">
        <v>677</v>
      </c>
      <c r="C43" s="28"/>
      <c r="D43" s="31">
        <v>5.0</v>
      </c>
      <c r="E43" s="33" t="s">
        <v>227</v>
      </c>
      <c r="F43" s="38">
        <f t="shared" ref="F43:F44" si="7">IFERROR(H43/D43*100,"")</f>
        <v>0</v>
      </c>
      <c r="G43" s="80" t="s">
        <v>5</v>
      </c>
      <c r="H43" s="80"/>
      <c r="I43" s="28"/>
      <c r="J43" s="29" t="s">
        <v>137</v>
      </c>
      <c r="K43" s="28"/>
    </row>
    <row r="44" ht="21.75" customHeight="1">
      <c r="A44" s="26" t="s">
        <v>698</v>
      </c>
      <c r="B44" s="51" t="s">
        <v>702</v>
      </c>
      <c r="C44" s="51"/>
      <c r="D44" s="52"/>
      <c r="E44" s="52" t="s">
        <v>227</v>
      </c>
      <c r="F44" s="38" t="str">
        <f t="shared" si="7"/>
        <v/>
      </c>
      <c r="G44" s="80" t="s">
        <v>5</v>
      </c>
      <c r="H44" s="80"/>
      <c r="I44" s="51"/>
      <c r="J44" s="29" t="s">
        <v>137</v>
      </c>
      <c r="K44" s="51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30:K30"/>
    <mergeCell ref="A37:K37"/>
    <mergeCell ref="A42:K42"/>
    <mergeCell ref="A1:K1"/>
    <mergeCell ref="A2:K2"/>
    <mergeCell ref="A5:K5"/>
    <mergeCell ref="A7:K7"/>
    <mergeCell ref="A11:K11"/>
    <mergeCell ref="A16:K16"/>
    <mergeCell ref="A23:K23"/>
  </mergeCells>
  <conditionalFormatting sqref="G5:G1000">
    <cfRule type="cellIs" dxfId="0" priority="1" operator="equal">
      <formula>"Done"</formula>
    </cfRule>
  </conditionalFormatting>
  <conditionalFormatting sqref="G5:G1000">
    <cfRule type="cellIs" dxfId="0" priority="2" operator="equal">
      <formula>"Completed"</formula>
    </cfRule>
  </conditionalFormatting>
  <conditionalFormatting sqref="G5:G1000">
    <cfRule type="cellIs" dxfId="0" priority="3" operator="equal">
      <formula>"Closed"</formula>
    </cfRule>
  </conditionalFormatting>
  <conditionalFormatting sqref="G5:G1000">
    <cfRule type="cellIs" dxfId="0" priority="4" operator="equal">
      <formula>"Fixed"</formula>
    </cfRule>
  </conditionalFormatting>
  <conditionalFormatting sqref="G5:G1000">
    <cfRule type="cellIs" dxfId="0" priority="5" operator="equal">
      <formula>"Approved"</formula>
    </cfRule>
  </conditionalFormatting>
  <conditionalFormatting sqref="G5:G1000">
    <cfRule type="cellIs" dxfId="1" priority="6" operator="equal">
      <formula>"In Progress"</formula>
    </cfRule>
  </conditionalFormatting>
  <conditionalFormatting sqref="G5:G1000">
    <cfRule type="cellIs" dxfId="2" priority="7" operator="equal">
      <formula>"Open"</formula>
    </cfRule>
  </conditionalFormatting>
  <conditionalFormatting sqref="G5:G1000">
    <cfRule type="cellIs" dxfId="1" priority="8" operator="equal">
      <formula>"Pending"</formula>
    </cfRule>
  </conditionalFormatting>
  <conditionalFormatting sqref="G5:G1000">
    <cfRule type="cellIs" dxfId="2" priority="9" operator="equal">
      <formula>"Blocked"</formula>
    </cfRule>
  </conditionalFormatting>
  <conditionalFormatting sqref="G5:G1000">
    <cfRule type="cellIs" dxfId="3" priority="10" operator="equal">
      <formula>"Cancelled"</formula>
    </cfRule>
  </conditionalFormatting>
  <conditionalFormatting sqref="G5:G1000">
    <cfRule type="cellIs" dxfId="2" priority="11" operator="equal">
      <formula>"Rejected"</formula>
    </cfRule>
  </conditionalFormatting>
  <conditionalFormatting sqref="G5:G1000">
    <cfRule type="cellIs" dxfId="4" priority="12" operator="equal">
      <formula>"Submitted"</formula>
    </cfRule>
  </conditionalFormatting>
  <dataValidations>
    <dataValidation type="list" allowBlank="1" sqref="G6 G8:G10 G12:G15 G17:G22 G24:G29 G31:G36 G38:G41 G43:G44">
      <formula1>"Not Started,In Progress,Done,Blocked,Deferred"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Col="1"/>
  <cols>
    <col customWidth="1" min="1" max="1" width="31.86"/>
    <col customWidth="1" min="2" max="2" width="11.43"/>
    <col customWidth="1" min="3" max="3" width="26.43"/>
    <col customWidth="1" min="4" max="4" width="50.57"/>
    <col customWidth="1" min="5" max="5" width="47.14"/>
    <col customWidth="1" min="6" max="6" width="19.0"/>
    <col customWidth="1" min="7" max="7" width="14.0"/>
    <col customWidth="1" min="8" max="8" width="20.57"/>
    <col customWidth="1" min="9" max="10" width="14.0"/>
    <col customWidth="1" min="11" max="11" width="23.57"/>
    <col customWidth="1" min="12" max="12" width="31.43"/>
    <col customWidth="1" min="13" max="26" width="8.71"/>
  </cols>
  <sheetData>
    <row r="1" ht="27.7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15.75" customHeight="1">
      <c r="A2" s="7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6.0" customHeight="1"/>
    <row r="4" ht="25.5" customHeight="1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15</v>
      </c>
      <c r="H4" s="9" t="s">
        <v>16</v>
      </c>
      <c r="I4" s="9" t="s">
        <v>17</v>
      </c>
      <c r="J4" s="9" t="s">
        <v>18</v>
      </c>
      <c r="K4" s="9" t="s">
        <v>20</v>
      </c>
      <c r="L4" s="9" t="s">
        <v>21</v>
      </c>
    </row>
    <row r="5">
      <c r="A5" s="13" t="s">
        <v>24</v>
      </c>
      <c r="B5" s="13" t="s">
        <v>26</v>
      </c>
      <c r="C5" s="13" t="s">
        <v>28</v>
      </c>
      <c r="D5" s="13" t="s">
        <v>29</v>
      </c>
      <c r="E5" s="13" t="s">
        <v>31</v>
      </c>
      <c r="F5" s="13" t="s">
        <v>39</v>
      </c>
      <c r="G5" s="16">
        <v>15.0</v>
      </c>
      <c r="H5" s="13" t="s">
        <v>49</v>
      </c>
      <c r="I5" s="13" t="s">
        <v>50</v>
      </c>
      <c r="J5" s="19">
        <v>15.0</v>
      </c>
      <c r="K5" s="13" t="s">
        <v>52</v>
      </c>
      <c r="L5" s="13" t="s">
        <v>53</v>
      </c>
      <c r="M5" s="22"/>
    </row>
    <row r="6">
      <c r="A6" s="13" t="s">
        <v>54</v>
      </c>
      <c r="B6" s="13" t="s">
        <v>55</v>
      </c>
      <c r="C6" s="13" t="s">
        <v>56</v>
      </c>
      <c r="D6" s="25" t="s">
        <v>57</v>
      </c>
      <c r="E6" s="13" t="s">
        <v>61</v>
      </c>
      <c r="F6" s="13" t="s">
        <v>63</v>
      </c>
      <c r="G6" s="16">
        <v>4.0</v>
      </c>
      <c r="H6" s="13" t="s">
        <v>49</v>
      </c>
      <c r="I6" s="25" t="s">
        <v>50</v>
      </c>
      <c r="J6" s="19">
        <v>4.0</v>
      </c>
      <c r="K6" s="13" t="s">
        <v>52</v>
      </c>
      <c r="L6" s="13" t="s">
        <v>65</v>
      </c>
      <c r="M6" s="22"/>
    </row>
    <row r="7">
      <c r="A7" s="13" t="s">
        <v>66</v>
      </c>
      <c r="B7" s="13" t="s">
        <v>55</v>
      </c>
      <c r="C7" s="13" t="s">
        <v>56</v>
      </c>
      <c r="D7" s="25" t="s">
        <v>68</v>
      </c>
      <c r="E7" s="13" t="s">
        <v>69</v>
      </c>
      <c r="F7" s="13" t="s">
        <v>63</v>
      </c>
      <c r="G7" s="16">
        <v>4.0</v>
      </c>
      <c r="H7" s="13" t="s">
        <v>49</v>
      </c>
      <c r="I7" s="13" t="s">
        <v>50</v>
      </c>
      <c r="J7" s="19">
        <v>4.0</v>
      </c>
      <c r="K7" s="13" t="s">
        <v>52</v>
      </c>
      <c r="L7" s="13" t="s">
        <v>71</v>
      </c>
      <c r="M7" s="22"/>
    </row>
    <row r="8">
      <c r="A8" s="13" t="s">
        <v>73</v>
      </c>
      <c r="B8" s="13" t="s">
        <v>55</v>
      </c>
      <c r="C8" s="13" t="s">
        <v>74</v>
      </c>
      <c r="D8" s="25" t="s">
        <v>75</v>
      </c>
      <c r="E8" s="13" t="s">
        <v>76</v>
      </c>
      <c r="F8" s="13" t="s">
        <v>63</v>
      </c>
      <c r="G8" s="16">
        <v>5.0</v>
      </c>
      <c r="H8" s="13" t="s">
        <v>49</v>
      </c>
      <c r="I8" s="25" t="s">
        <v>80</v>
      </c>
      <c r="J8" s="19">
        <v>5.0</v>
      </c>
      <c r="K8" s="13" t="s">
        <v>52</v>
      </c>
      <c r="L8" s="13" t="s">
        <v>84</v>
      </c>
      <c r="M8" s="22"/>
    </row>
    <row r="9">
      <c r="A9" s="13" t="s">
        <v>85</v>
      </c>
      <c r="B9" s="13" t="s">
        <v>55</v>
      </c>
      <c r="C9" s="13" t="s">
        <v>74</v>
      </c>
      <c r="D9" s="13" t="s">
        <v>86</v>
      </c>
      <c r="E9" s="13" t="s">
        <v>87</v>
      </c>
      <c r="F9" s="13" t="s">
        <v>39</v>
      </c>
      <c r="G9" s="16">
        <v>8.0</v>
      </c>
      <c r="H9" s="13" t="s">
        <v>49</v>
      </c>
      <c r="I9" s="25" t="s">
        <v>80</v>
      </c>
      <c r="J9" s="19">
        <v>9.0</v>
      </c>
      <c r="K9" s="13" t="s">
        <v>52</v>
      </c>
      <c r="L9" s="13" t="s">
        <v>88</v>
      </c>
      <c r="M9" s="22"/>
    </row>
    <row r="10">
      <c r="A10" s="13" t="s">
        <v>90</v>
      </c>
      <c r="B10" s="13" t="s">
        <v>55</v>
      </c>
      <c r="C10" s="13" t="s">
        <v>91</v>
      </c>
      <c r="D10" s="13" t="s">
        <v>92</v>
      </c>
      <c r="E10" s="13" t="s">
        <v>93</v>
      </c>
      <c r="F10" s="13" t="s">
        <v>63</v>
      </c>
      <c r="G10" s="16">
        <v>5.0</v>
      </c>
      <c r="H10" s="13" t="s">
        <v>95</v>
      </c>
      <c r="I10" s="25" t="s">
        <v>80</v>
      </c>
      <c r="J10" s="19">
        <v>5.0</v>
      </c>
      <c r="K10" s="13" t="s">
        <v>52</v>
      </c>
      <c r="L10" s="13" t="s">
        <v>98</v>
      </c>
      <c r="M10" s="22"/>
    </row>
    <row r="11">
      <c r="A11" s="13" t="s">
        <v>99</v>
      </c>
      <c r="B11" s="13" t="s">
        <v>55</v>
      </c>
      <c r="C11" s="13" t="s">
        <v>91</v>
      </c>
      <c r="D11" s="13" t="s">
        <v>100</v>
      </c>
      <c r="E11" s="13" t="s">
        <v>101</v>
      </c>
      <c r="F11" s="13" t="s">
        <v>63</v>
      </c>
      <c r="G11" s="16">
        <v>3.0</v>
      </c>
      <c r="H11" s="13" t="s">
        <v>102</v>
      </c>
      <c r="I11" s="25" t="s">
        <v>80</v>
      </c>
      <c r="J11" s="19">
        <v>3.0</v>
      </c>
      <c r="K11" s="13" t="s">
        <v>52</v>
      </c>
      <c r="L11" s="13" t="s">
        <v>103</v>
      </c>
      <c r="M11" s="22"/>
    </row>
    <row r="12">
      <c r="A12" s="13" t="s">
        <v>104</v>
      </c>
      <c r="B12" s="13" t="s">
        <v>55</v>
      </c>
      <c r="C12" s="13" t="s">
        <v>106</v>
      </c>
      <c r="D12" s="13" t="s">
        <v>107</v>
      </c>
      <c r="E12" s="13" t="s">
        <v>108</v>
      </c>
      <c r="F12" s="13" t="s">
        <v>39</v>
      </c>
      <c r="G12" s="16">
        <v>7.0</v>
      </c>
      <c r="H12" s="13" t="s">
        <v>95</v>
      </c>
      <c r="I12" s="25" t="s">
        <v>110</v>
      </c>
      <c r="J12" s="19">
        <v>7.0</v>
      </c>
      <c r="K12" s="13" t="s">
        <v>52</v>
      </c>
      <c r="L12" s="13" t="s">
        <v>112</v>
      </c>
      <c r="M12" s="22"/>
    </row>
    <row r="13">
      <c r="A13" s="13" t="s">
        <v>113</v>
      </c>
      <c r="B13" s="13" t="s">
        <v>55</v>
      </c>
      <c r="C13" s="13" t="s">
        <v>114</v>
      </c>
      <c r="D13" s="25" t="s">
        <v>115</v>
      </c>
      <c r="E13" s="13" t="s">
        <v>116</v>
      </c>
      <c r="F13" s="13" t="s">
        <v>39</v>
      </c>
      <c r="G13" s="16">
        <v>5.0</v>
      </c>
      <c r="H13" s="13" t="s">
        <v>117</v>
      </c>
      <c r="I13" s="25" t="s">
        <v>110</v>
      </c>
      <c r="J13" s="19">
        <v>6.0</v>
      </c>
      <c r="K13" s="13" t="s">
        <v>52</v>
      </c>
      <c r="L13" s="13" t="s">
        <v>118</v>
      </c>
      <c r="M13" s="22"/>
    </row>
    <row r="14">
      <c r="A14" s="13" t="s">
        <v>119</v>
      </c>
      <c r="B14" s="13" t="s">
        <v>55</v>
      </c>
      <c r="C14" s="13" t="s">
        <v>120</v>
      </c>
      <c r="D14" s="13" t="s">
        <v>121</v>
      </c>
      <c r="E14" s="13" t="s">
        <v>122</v>
      </c>
      <c r="F14" s="13" t="s">
        <v>63</v>
      </c>
      <c r="G14" s="16">
        <v>5.0</v>
      </c>
      <c r="H14" s="13" t="s">
        <v>95</v>
      </c>
      <c r="I14" s="25" t="s">
        <v>124</v>
      </c>
      <c r="J14" s="19">
        <v>5.0</v>
      </c>
      <c r="K14" s="13" t="s">
        <v>52</v>
      </c>
      <c r="L14" s="13" t="s">
        <v>126</v>
      </c>
      <c r="M14" s="22"/>
    </row>
    <row r="15">
      <c r="A15" s="13" t="s">
        <v>129</v>
      </c>
      <c r="B15" s="13" t="s">
        <v>55</v>
      </c>
      <c r="C15" s="13" t="s">
        <v>120</v>
      </c>
      <c r="D15" s="13" t="s">
        <v>130</v>
      </c>
      <c r="E15" s="13" t="s">
        <v>131</v>
      </c>
      <c r="F15" s="13" t="s">
        <v>39</v>
      </c>
      <c r="G15" s="16">
        <v>8.0</v>
      </c>
      <c r="H15" s="13" t="s">
        <v>102</v>
      </c>
      <c r="I15" s="25" t="s">
        <v>124</v>
      </c>
      <c r="J15" s="19">
        <v>9.0</v>
      </c>
      <c r="K15" s="13" t="s">
        <v>52</v>
      </c>
      <c r="L15" s="13" t="s">
        <v>132</v>
      </c>
      <c r="M15" s="22"/>
    </row>
    <row r="16">
      <c r="A16" s="13" t="s">
        <v>133</v>
      </c>
      <c r="B16" s="13" t="s">
        <v>55</v>
      </c>
      <c r="C16" s="13" t="s">
        <v>120</v>
      </c>
      <c r="D16" s="25" t="s">
        <v>135</v>
      </c>
      <c r="E16" s="13" t="s">
        <v>136</v>
      </c>
      <c r="F16" s="13" t="s">
        <v>63</v>
      </c>
      <c r="G16" s="16">
        <v>4.0</v>
      </c>
      <c r="H16" s="13" t="s">
        <v>102</v>
      </c>
      <c r="I16" s="25" t="s">
        <v>124</v>
      </c>
      <c r="J16" s="19">
        <v>4.0</v>
      </c>
      <c r="K16" s="13" t="s">
        <v>52</v>
      </c>
      <c r="L16" s="13" t="s">
        <v>139</v>
      </c>
      <c r="M16" s="22"/>
    </row>
    <row r="17">
      <c r="A17" s="13" t="s">
        <v>140</v>
      </c>
      <c r="B17" s="13" t="s">
        <v>55</v>
      </c>
      <c r="C17" s="13" t="s">
        <v>120</v>
      </c>
      <c r="D17" s="25" t="s">
        <v>142</v>
      </c>
      <c r="E17" s="13" t="s">
        <v>143</v>
      </c>
      <c r="F17" s="13" t="s">
        <v>63</v>
      </c>
      <c r="G17" s="16">
        <v>3.0</v>
      </c>
      <c r="H17" s="13" t="s">
        <v>102</v>
      </c>
      <c r="I17" s="46" t="s">
        <v>124</v>
      </c>
      <c r="J17" s="47">
        <v>3.0</v>
      </c>
      <c r="K17" s="13" t="s">
        <v>52</v>
      </c>
      <c r="L17" s="13" t="s">
        <v>153</v>
      </c>
      <c r="M17" s="22"/>
    </row>
    <row r="18">
      <c r="A18" s="13" t="s">
        <v>154</v>
      </c>
      <c r="B18" s="13" t="s">
        <v>55</v>
      </c>
      <c r="C18" s="13" t="s">
        <v>120</v>
      </c>
      <c r="D18" s="25" t="s">
        <v>155</v>
      </c>
      <c r="E18" s="13" t="s">
        <v>156</v>
      </c>
      <c r="F18" s="13" t="s">
        <v>63</v>
      </c>
      <c r="G18" s="16">
        <v>4.0</v>
      </c>
      <c r="H18" s="13" t="s">
        <v>95</v>
      </c>
      <c r="I18" s="46" t="s">
        <v>124</v>
      </c>
      <c r="J18" s="47">
        <v>4.0</v>
      </c>
      <c r="K18" s="13" t="s">
        <v>52</v>
      </c>
      <c r="L18" s="13" t="s">
        <v>161</v>
      </c>
      <c r="M18" s="22"/>
    </row>
    <row r="19">
      <c r="A19" s="13" t="s">
        <v>164</v>
      </c>
      <c r="B19" s="13" t="s">
        <v>55</v>
      </c>
      <c r="C19" s="13" t="s">
        <v>165</v>
      </c>
      <c r="D19" s="13" t="s">
        <v>166</v>
      </c>
      <c r="E19" s="13" t="s">
        <v>167</v>
      </c>
      <c r="F19" s="13" t="s">
        <v>39</v>
      </c>
      <c r="G19" s="16">
        <v>6.0</v>
      </c>
      <c r="H19" s="13" t="s">
        <v>117</v>
      </c>
      <c r="I19" s="46" t="s">
        <v>124</v>
      </c>
      <c r="J19" s="47">
        <v>6.0</v>
      </c>
      <c r="K19" s="13" t="s">
        <v>52</v>
      </c>
      <c r="L19" s="13" t="s">
        <v>174</v>
      </c>
      <c r="M19" s="22"/>
    </row>
    <row r="20">
      <c r="A20" s="13" t="s">
        <v>178</v>
      </c>
      <c r="B20" s="13" t="s">
        <v>55</v>
      </c>
      <c r="C20" s="13" t="s">
        <v>165</v>
      </c>
      <c r="D20" s="13" t="s">
        <v>179</v>
      </c>
      <c r="E20" s="13" t="s">
        <v>180</v>
      </c>
      <c r="F20" s="13" t="s">
        <v>39</v>
      </c>
      <c r="G20" s="16">
        <v>5.0</v>
      </c>
      <c r="H20" s="13" t="s">
        <v>117</v>
      </c>
      <c r="I20" s="46" t="s">
        <v>124</v>
      </c>
      <c r="J20" s="47">
        <v>6.0</v>
      </c>
      <c r="K20" s="13" t="s">
        <v>52</v>
      </c>
      <c r="L20" s="13" t="s">
        <v>182</v>
      </c>
      <c r="M20" s="22"/>
    </row>
    <row r="21">
      <c r="A21" s="13" t="s">
        <v>184</v>
      </c>
      <c r="B21" s="13" t="s">
        <v>55</v>
      </c>
      <c r="C21" s="13" t="s">
        <v>185</v>
      </c>
      <c r="D21" s="46" t="s">
        <v>186</v>
      </c>
      <c r="E21" s="13" t="s">
        <v>188</v>
      </c>
      <c r="F21" s="13" t="s">
        <v>63</v>
      </c>
      <c r="G21" s="16">
        <v>4.0</v>
      </c>
      <c r="H21" s="13" t="s">
        <v>95</v>
      </c>
      <c r="I21" s="13" t="s">
        <v>50</v>
      </c>
      <c r="J21" s="47">
        <v>4.0</v>
      </c>
      <c r="K21" s="13" t="s">
        <v>52</v>
      </c>
      <c r="L21" s="13" t="s">
        <v>199</v>
      </c>
      <c r="M21" s="22"/>
    </row>
    <row r="22">
      <c r="A22" s="13" t="s">
        <v>201</v>
      </c>
      <c r="B22" s="13" t="s">
        <v>55</v>
      </c>
      <c r="C22" s="13" t="s">
        <v>185</v>
      </c>
      <c r="D22" s="46" t="s">
        <v>204</v>
      </c>
      <c r="E22" s="13" t="s">
        <v>206</v>
      </c>
      <c r="F22" s="13" t="s">
        <v>63</v>
      </c>
      <c r="G22" s="16">
        <v>4.0</v>
      </c>
      <c r="H22" s="13" t="s">
        <v>102</v>
      </c>
      <c r="I22" s="13" t="s">
        <v>50</v>
      </c>
      <c r="J22" s="47">
        <v>4.0</v>
      </c>
      <c r="K22" s="13" t="s">
        <v>52</v>
      </c>
      <c r="L22" s="13" t="s">
        <v>212</v>
      </c>
      <c r="M22" s="22"/>
    </row>
    <row r="23">
      <c r="A23" s="13" t="s">
        <v>214</v>
      </c>
      <c r="B23" s="13" t="s">
        <v>55</v>
      </c>
      <c r="C23" s="13" t="s">
        <v>185</v>
      </c>
      <c r="D23" s="46" t="s">
        <v>218</v>
      </c>
      <c r="E23" s="13" t="s">
        <v>219</v>
      </c>
      <c r="F23" s="13" t="s">
        <v>63</v>
      </c>
      <c r="G23" s="16">
        <v>4.0</v>
      </c>
      <c r="H23" s="13" t="s">
        <v>95</v>
      </c>
      <c r="I23" s="46" t="s">
        <v>50</v>
      </c>
      <c r="J23" s="47">
        <v>4.0</v>
      </c>
      <c r="K23" s="13" t="s">
        <v>52</v>
      </c>
      <c r="L23" s="13" t="s">
        <v>222</v>
      </c>
      <c r="M23" s="22"/>
    </row>
    <row r="24">
      <c r="A24" s="13" t="s">
        <v>223</v>
      </c>
      <c r="B24" s="13" t="s">
        <v>55</v>
      </c>
      <c r="C24" s="13" t="s">
        <v>185</v>
      </c>
      <c r="D24" s="46" t="s">
        <v>224</v>
      </c>
      <c r="E24" s="13" t="s">
        <v>225</v>
      </c>
      <c r="F24" s="13" t="s">
        <v>63</v>
      </c>
      <c r="G24" s="16">
        <v>4.0</v>
      </c>
      <c r="H24" s="13" t="s">
        <v>102</v>
      </c>
      <c r="I24" s="46" t="s">
        <v>228</v>
      </c>
      <c r="J24" s="47">
        <v>4.0</v>
      </c>
      <c r="K24" s="13" t="s">
        <v>52</v>
      </c>
      <c r="L24" s="13" t="s">
        <v>232</v>
      </c>
      <c r="M24" s="22"/>
    </row>
    <row r="25">
      <c r="A25" s="13" t="s">
        <v>235</v>
      </c>
      <c r="B25" s="13" t="s">
        <v>55</v>
      </c>
      <c r="C25" s="13" t="s">
        <v>237</v>
      </c>
      <c r="D25" s="13" t="s">
        <v>239</v>
      </c>
      <c r="E25" s="13" t="s">
        <v>241</v>
      </c>
      <c r="F25" s="13" t="s">
        <v>63</v>
      </c>
      <c r="G25" s="16">
        <v>3.0</v>
      </c>
      <c r="H25" s="13" t="s">
        <v>117</v>
      </c>
      <c r="I25" s="46" t="s">
        <v>228</v>
      </c>
      <c r="J25" s="47">
        <v>3.0</v>
      </c>
      <c r="K25" s="13" t="s">
        <v>52</v>
      </c>
      <c r="L25" s="13" t="s">
        <v>247</v>
      </c>
      <c r="M25" s="22"/>
    </row>
    <row r="26">
      <c r="A26" s="13" t="s">
        <v>248</v>
      </c>
      <c r="B26" s="13" t="s">
        <v>55</v>
      </c>
      <c r="C26" s="13" t="s">
        <v>237</v>
      </c>
      <c r="D26" s="46" t="s">
        <v>249</v>
      </c>
      <c r="E26" s="13" t="s">
        <v>250</v>
      </c>
      <c r="F26" s="13" t="s">
        <v>63</v>
      </c>
      <c r="G26" s="16">
        <v>3.0</v>
      </c>
      <c r="H26" s="13" t="s">
        <v>117</v>
      </c>
      <c r="I26" s="46" t="s">
        <v>228</v>
      </c>
      <c r="J26" s="47">
        <v>3.0</v>
      </c>
      <c r="K26" s="13" t="s">
        <v>52</v>
      </c>
      <c r="L26" s="13" t="s">
        <v>255</v>
      </c>
      <c r="M26" s="22"/>
    </row>
    <row r="27">
      <c r="A27" s="13" t="s">
        <v>258</v>
      </c>
      <c r="B27" s="13" t="s">
        <v>55</v>
      </c>
      <c r="C27" s="13" t="s">
        <v>165</v>
      </c>
      <c r="D27" s="13" t="s">
        <v>260</v>
      </c>
      <c r="E27" s="13" t="s">
        <v>261</v>
      </c>
      <c r="F27" s="13" t="s">
        <v>39</v>
      </c>
      <c r="G27" s="16">
        <v>5.0</v>
      </c>
      <c r="H27" s="13" t="s">
        <v>117</v>
      </c>
      <c r="I27" s="46" t="s">
        <v>228</v>
      </c>
      <c r="J27" s="47">
        <v>5.0</v>
      </c>
      <c r="K27" s="13" t="s">
        <v>52</v>
      </c>
      <c r="L27" s="13" t="s">
        <v>264</v>
      </c>
      <c r="M27" s="22"/>
    </row>
    <row r="28">
      <c r="A28" s="13" t="s">
        <v>265</v>
      </c>
      <c r="B28" s="13" t="s">
        <v>55</v>
      </c>
      <c r="C28" s="13" t="s">
        <v>237</v>
      </c>
      <c r="D28" s="46" t="s">
        <v>266</v>
      </c>
      <c r="E28" s="13" t="s">
        <v>267</v>
      </c>
      <c r="F28" s="13" t="s">
        <v>269</v>
      </c>
      <c r="G28" s="16">
        <v>2.0</v>
      </c>
      <c r="H28" s="13" t="s">
        <v>117</v>
      </c>
      <c r="I28" s="46" t="s">
        <v>228</v>
      </c>
      <c r="J28" s="47">
        <v>2.0</v>
      </c>
      <c r="K28" s="13" t="s">
        <v>52</v>
      </c>
      <c r="L28" s="13" t="s">
        <v>274</v>
      </c>
      <c r="M28" s="22"/>
    </row>
    <row r="29">
      <c r="A29" s="13" t="s">
        <v>276</v>
      </c>
      <c r="B29" s="13" t="s">
        <v>277</v>
      </c>
      <c r="C29" s="13" t="s">
        <v>278</v>
      </c>
      <c r="D29" s="61" t="s">
        <v>279</v>
      </c>
      <c r="E29" s="13" t="s">
        <v>285</v>
      </c>
      <c r="F29" s="13" t="s">
        <v>39</v>
      </c>
      <c r="G29" s="16">
        <v>8.0</v>
      </c>
      <c r="H29" s="13" t="s">
        <v>117</v>
      </c>
      <c r="I29" s="61" t="s">
        <v>291</v>
      </c>
      <c r="J29" s="47">
        <v>8.0</v>
      </c>
      <c r="K29" s="13" t="s">
        <v>52</v>
      </c>
      <c r="L29" s="13" t="s">
        <v>292</v>
      </c>
      <c r="M29" s="22"/>
    </row>
    <row r="30">
      <c r="A30" s="13" t="s">
        <v>293</v>
      </c>
      <c r="B30" s="13" t="s">
        <v>277</v>
      </c>
      <c r="C30" s="13" t="s">
        <v>278</v>
      </c>
      <c r="D30" s="13" t="s">
        <v>295</v>
      </c>
      <c r="E30" s="13" t="s">
        <v>296</v>
      </c>
      <c r="F30" s="13" t="s">
        <v>63</v>
      </c>
      <c r="G30" s="16">
        <v>6.0</v>
      </c>
      <c r="H30" s="13" t="s">
        <v>117</v>
      </c>
      <c r="I30" s="61" t="s">
        <v>297</v>
      </c>
      <c r="J30" s="47">
        <v>6.0</v>
      </c>
      <c r="K30" s="13" t="s">
        <v>52</v>
      </c>
      <c r="L30" s="13" t="s">
        <v>299</v>
      </c>
      <c r="M30" s="22"/>
    </row>
    <row r="31" ht="14.25" customHeight="1"/>
    <row r="32" ht="14.25" customHeight="1">
      <c r="G32" s="65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</sheetData>
  <dataValidations>
    <dataValidation type="list" allowBlank="1" showErrorMessage="1" sqref="H5:H30">
      <formula1>"Iteration 1,Iteration 2,Iteration 3,Iteration 4"</formula1>
    </dataValidation>
    <dataValidation type="list" allowBlank="1" showErrorMessage="1" sqref="F5:F30">
      <formula1>"Complex,Medium,Simple"</formula1>
    </dataValidation>
    <dataValidation type="list" allowBlank="1" showErrorMessage="1" sqref="K5:K30">
      <formula1>"Not Started,Pending,Done"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Col="1"/>
  <cols>
    <col customWidth="1" min="1" max="1" width="10.43"/>
    <col customWidth="1" min="2" max="2" width="12.0"/>
    <col collapsed="1" customWidth="1" min="3" max="3" width="32.0"/>
    <col customWidth="1" hidden="1" min="4" max="4" width="28.0" outlineLevel="1"/>
    <col customWidth="1" hidden="1" min="5" max="6" width="22.0" outlineLevel="1"/>
    <col customWidth="1" min="7" max="7" width="12.0"/>
    <col customWidth="1" min="8" max="8" width="12.86"/>
    <col collapsed="1" customWidth="1" min="9" max="9" width="14.0"/>
    <col customWidth="1" hidden="1" min="10" max="10" width="16.0" outlineLevel="1"/>
    <col customWidth="1" hidden="1" min="11" max="11" width="18.0" outlineLevel="1"/>
    <col customWidth="1" min="12" max="12" width="16.29"/>
    <col customWidth="1" min="13" max="13" width="17.14"/>
    <col collapsed="1" customWidth="1" min="14" max="14" width="12.0"/>
    <col customWidth="1" hidden="1" min="15" max="15" width="12.0" outlineLevel="1"/>
    <col customWidth="1" hidden="1" min="16" max="16" width="16.0" outlineLevel="1"/>
    <col customWidth="1" min="17" max="17" width="13.86"/>
    <col customWidth="1" min="18" max="18" width="26.0"/>
    <col customWidth="1" min="19" max="26" width="8.71"/>
  </cols>
  <sheetData>
    <row r="1" ht="14.25" customHeight="1">
      <c r="A1" s="5" t="s">
        <v>6</v>
      </c>
    </row>
    <row r="2" ht="14.25" customHeight="1">
      <c r="A2" s="3"/>
    </row>
    <row r="3" ht="14.25" customHeight="1"/>
    <row r="4" ht="14.25" customHeight="1">
      <c r="A4" s="14" t="s">
        <v>7</v>
      </c>
      <c r="B4" s="14" t="s">
        <v>32</v>
      </c>
      <c r="C4" s="14" t="s">
        <v>33</v>
      </c>
      <c r="D4" s="14" t="s">
        <v>34</v>
      </c>
      <c r="E4" s="14" t="s">
        <v>36</v>
      </c>
      <c r="F4" s="14" t="s">
        <v>37</v>
      </c>
      <c r="G4" s="14" t="s">
        <v>38</v>
      </c>
      <c r="H4" s="14" t="s">
        <v>40</v>
      </c>
      <c r="I4" s="14" t="s">
        <v>41</v>
      </c>
      <c r="J4" s="14" t="s">
        <v>42</v>
      </c>
      <c r="K4" s="14" t="s">
        <v>43</v>
      </c>
      <c r="L4" s="14" t="s">
        <v>44</v>
      </c>
      <c r="M4" s="14" t="s">
        <v>45</v>
      </c>
      <c r="N4" s="14" t="s">
        <v>20</v>
      </c>
      <c r="O4" s="14" t="s">
        <v>46</v>
      </c>
      <c r="P4" s="14" t="s">
        <v>47</v>
      </c>
      <c r="Q4" s="14" t="s">
        <v>48</v>
      </c>
      <c r="R4" s="14" t="s">
        <v>21</v>
      </c>
    </row>
    <row r="5" ht="14.25" customHeight="1">
      <c r="A5" s="20" t="s">
        <v>51</v>
      </c>
      <c r="B5" s="24">
        <v>46229.0</v>
      </c>
      <c r="C5" s="20" t="s">
        <v>59</v>
      </c>
      <c r="D5" s="20" t="s">
        <v>60</v>
      </c>
      <c r="E5" s="20" t="s">
        <v>62</v>
      </c>
      <c r="F5" s="20" t="s">
        <v>64</v>
      </c>
      <c r="G5" s="20" t="s">
        <v>70</v>
      </c>
      <c r="H5" s="20" t="s">
        <v>72</v>
      </c>
      <c r="I5" s="20" t="s">
        <v>77</v>
      </c>
      <c r="J5" s="20" t="s">
        <v>78</v>
      </c>
      <c r="K5" s="20" t="s">
        <v>79</v>
      </c>
      <c r="L5" s="20" t="s">
        <v>81</v>
      </c>
      <c r="M5" s="20" t="s">
        <v>83</v>
      </c>
      <c r="N5" s="34" t="s">
        <v>97</v>
      </c>
      <c r="O5" s="36">
        <v>46229.0</v>
      </c>
      <c r="P5" s="20" t="s">
        <v>105</v>
      </c>
      <c r="Q5" s="36">
        <v>46231.0</v>
      </c>
      <c r="R5" s="20" t="s">
        <v>109</v>
      </c>
    </row>
    <row r="6" ht="14.25" customHeight="1">
      <c r="A6" s="37" t="s">
        <v>111</v>
      </c>
      <c r="B6" s="39">
        <v>46230.0</v>
      </c>
      <c r="C6" s="37" t="s">
        <v>123</v>
      </c>
      <c r="D6" s="37" t="s">
        <v>125</v>
      </c>
      <c r="E6" s="37" t="s">
        <v>127</v>
      </c>
      <c r="F6" s="37" t="s">
        <v>128</v>
      </c>
      <c r="G6" s="37" t="s">
        <v>72</v>
      </c>
      <c r="H6" s="37" t="s">
        <v>72</v>
      </c>
      <c r="I6" s="37" t="s">
        <v>77</v>
      </c>
      <c r="J6" s="37" t="s">
        <v>78</v>
      </c>
      <c r="K6" s="37" t="s">
        <v>134</v>
      </c>
      <c r="L6" s="37" t="s">
        <v>81</v>
      </c>
      <c r="M6" s="45" t="s">
        <v>83</v>
      </c>
      <c r="N6" s="34" t="s">
        <v>97</v>
      </c>
      <c r="O6" s="39">
        <v>46229.0</v>
      </c>
      <c r="P6" s="37" t="s">
        <v>105</v>
      </c>
      <c r="Q6" s="39">
        <v>46231.0</v>
      </c>
      <c r="R6" s="37" t="s">
        <v>146</v>
      </c>
    </row>
    <row r="7" ht="14.25" customHeight="1">
      <c r="A7" s="20" t="s">
        <v>147</v>
      </c>
      <c r="B7" s="36">
        <v>46229.0</v>
      </c>
      <c r="C7" s="20" t="s">
        <v>148</v>
      </c>
      <c r="D7" s="20" t="s">
        <v>150</v>
      </c>
      <c r="E7" s="20" t="s">
        <v>151</v>
      </c>
      <c r="F7" s="20" t="s">
        <v>152</v>
      </c>
      <c r="G7" s="20" t="s">
        <v>72</v>
      </c>
      <c r="H7" s="20" t="s">
        <v>72</v>
      </c>
      <c r="I7" s="20" t="s">
        <v>77</v>
      </c>
      <c r="J7" s="20" t="s">
        <v>78</v>
      </c>
      <c r="K7" s="20" t="s">
        <v>158</v>
      </c>
      <c r="L7" s="20" t="s">
        <v>160</v>
      </c>
      <c r="M7" s="20" t="s">
        <v>162</v>
      </c>
      <c r="N7" s="34" t="s">
        <v>97</v>
      </c>
      <c r="O7" s="36">
        <v>46230.0</v>
      </c>
      <c r="P7" s="20" t="s">
        <v>105</v>
      </c>
      <c r="Q7" s="36">
        <v>46231.0</v>
      </c>
      <c r="R7" s="20" t="s">
        <v>168</v>
      </c>
    </row>
    <row r="8" ht="14.25" customHeight="1">
      <c r="A8" s="37" t="s">
        <v>171</v>
      </c>
      <c r="B8" s="39">
        <v>46230.0</v>
      </c>
      <c r="C8" s="37" t="s">
        <v>172</v>
      </c>
      <c r="D8" s="37" t="s">
        <v>173</v>
      </c>
      <c r="E8" s="37" t="s">
        <v>175</v>
      </c>
      <c r="F8" s="37" t="s">
        <v>177</v>
      </c>
      <c r="G8" s="37" t="s">
        <v>70</v>
      </c>
      <c r="H8" s="37" t="s">
        <v>72</v>
      </c>
      <c r="I8" s="37" t="s">
        <v>77</v>
      </c>
      <c r="J8" s="37" t="s">
        <v>78</v>
      </c>
      <c r="K8" s="37" t="s">
        <v>158</v>
      </c>
      <c r="L8" s="37" t="s">
        <v>160</v>
      </c>
      <c r="M8" s="37" t="s">
        <v>162</v>
      </c>
      <c r="N8" s="34" t="s">
        <v>97</v>
      </c>
      <c r="O8" s="39">
        <v>46230.0</v>
      </c>
      <c r="P8" s="37" t="s">
        <v>105</v>
      </c>
      <c r="Q8" s="39">
        <v>46232.0</v>
      </c>
      <c r="R8" s="37" t="s">
        <v>187</v>
      </c>
    </row>
    <row r="9" ht="14.25" customHeight="1">
      <c r="A9" s="37" t="s">
        <v>189</v>
      </c>
      <c r="B9" s="39">
        <v>46230.0</v>
      </c>
      <c r="C9" s="37" t="s">
        <v>190</v>
      </c>
      <c r="D9" s="37" t="s">
        <v>192</v>
      </c>
      <c r="E9" s="37" t="s">
        <v>194</v>
      </c>
      <c r="F9" s="37" t="s">
        <v>196</v>
      </c>
      <c r="G9" s="37" t="s">
        <v>63</v>
      </c>
      <c r="H9" s="37" t="s">
        <v>63</v>
      </c>
      <c r="I9" s="37" t="s">
        <v>77</v>
      </c>
      <c r="J9" s="37" t="s">
        <v>78</v>
      </c>
      <c r="K9" s="37" t="s">
        <v>203</v>
      </c>
      <c r="L9" s="37" t="s">
        <v>205</v>
      </c>
      <c r="M9" s="37" t="s">
        <v>83</v>
      </c>
      <c r="N9" s="34" t="s">
        <v>97</v>
      </c>
      <c r="O9" s="39">
        <v>46231.0</v>
      </c>
      <c r="P9" s="37" t="s">
        <v>105</v>
      </c>
      <c r="Q9" s="39">
        <v>46232.0</v>
      </c>
      <c r="R9" s="37" t="s">
        <v>211</v>
      </c>
    </row>
    <row r="10" ht="14.25" customHeight="1">
      <c r="A10" s="20" t="s">
        <v>213</v>
      </c>
      <c r="B10" s="36">
        <v>46229.0</v>
      </c>
      <c r="C10" s="20" t="s">
        <v>216</v>
      </c>
      <c r="D10" s="20" t="s">
        <v>217</v>
      </c>
      <c r="E10" s="20" t="s">
        <v>151</v>
      </c>
      <c r="F10" s="20" t="s">
        <v>221</v>
      </c>
      <c r="G10" s="20" t="s">
        <v>72</v>
      </c>
      <c r="H10" s="20" t="s">
        <v>72</v>
      </c>
      <c r="I10" s="20" t="s">
        <v>77</v>
      </c>
      <c r="J10" s="20" t="s">
        <v>78</v>
      </c>
      <c r="K10" s="20" t="s">
        <v>203</v>
      </c>
      <c r="L10" s="20" t="s">
        <v>205</v>
      </c>
      <c r="M10" s="20" t="s">
        <v>83</v>
      </c>
      <c r="N10" s="34" t="s">
        <v>97</v>
      </c>
      <c r="O10" s="36">
        <v>46231.0</v>
      </c>
      <c r="P10" s="20" t="s">
        <v>105</v>
      </c>
      <c r="Q10" s="36">
        <v>46231.0</v>
      </c>
      <c r="R10" s="20" t="s">
        <v>229</v>
      </c>
    </row>
    <row r="11" ht="14.25" customHeight="1">
      <c r="A11" s="37" t="s">
        <v>231</v>
      </c>
      <c r="B11" s="39">
        <v>46230.0</v>
      </c>
      <c r="C11" s="37" t="s">
        <v>234</v>
      </c>
      <c r="D11" s="37" t="s">
        <v>236</v>
      </c>
      <c r="E11" s="37" t="s">
        <v>238</v>
      </c>
      <c r="F11" s="37" t="s">
        <v>240</v>
      </c>
      <c r="G11" s="37" t="s">
        <v>63</v>
      </c>
      <c r="H11" s="37" t="s">
        <v>63</v>
      </c>
      <c r="I11" s="37" t="s">
        <v>77</v>
      </c>
      <c r="J11" s="37" t="s">
        <v>78</v>
      </c>
      <c r="K11" s="37" t="s">
        <v>245</v>
      </c>
      <c r="L11" s="37" t="s">
        <v>81</v>
      </c>
      <c r="M11" s="37" t="s">
        <v>162</v>
      </c>
      <c r="N11" s="34" t="s">
        <v>97</v>
      </c>
      <c r="O11" s="39">
        <v>46231.0</v>
      </c>
      <c r="P11" s="37" t="s">
        <v>105</v>
      </c>
      <c r="Q11" s="39">
        <v>46231.0</v>
      </c>
      <c r="R11" s="37" t="s">
        <v>251</v>
      </c>
    </row>
    <row r="12" ht="14.25" customHeight="1">
      <c r="A12" s="20" t="s">
        <v>252</v>
      </c>
      <c r="B12" s="36">
        <v>46230.0</v>
      </c>
      <c r="C12" s="20" t="s">
        <v>253</v>
      </c>
      <c r="D12" s="20" t="s">
        <v>254</v>
      </c>
      <c r="E12" s="20" t="s">
        <v>256</v>
      </c>
      <c r="F12" s="20" t="s">
        <v>257</v>
      </c>
      <c r="G12" s="20" t="s">
        <v>259</v>
      </c>
      <c r="H12" s="20" t="s">
        <v>259</v>
      </c>
      <c r="I12" s="20" t="s">
        <v>77</v>
      </c>
      <c r="J12" s="20" t="s">
        <v>78</v>
      </c>
      <c r="K12" s="20" t="s">
        <v>263</v>
      </c>
      <c r="L12" s="20" t="s">
        <v>205</v>
      </c>
      <c r="M12" s="20" t="s">
        <v>162</v>
      </c>
      <c r="N12" s="34" t="s">
        <v>97</v>
      </c>
      <c r="O12" s="36">
        <v>46231.0</v>
      </c>
      <c r="P12" s="20" t="s">
        <v>105</v>
      </c>
      <c r="Q12" s="36">
        <v>46231.0</v>
      </c>
      <c r="R12" s="20" t="s">
        <v>268</v>
      </c>
    </row>
    <row r="13" ht="14.25" customHeight="1">
      <c r="A13" s="37" t="s">
        <v>270</v>
      </c>
      <c r="B13" s="39">
        <v>46230.0</v>
      </c>
      <c r="C13" s="37" t="s">
        <v>271</v>
      </c>
      <c r="D13" s="37" t="s">
        <v>272</v>
      </c>
      <c r="E13" s="37" t="s">
        <v>273</v>
      </c>
      <c r="F13" s="37" t="s">
        <v>275</v>
      </c>
      <c r="G13" s="37" t="s">
        <v>72</v>
      </c>
      <c r="H13" s="37" t="s">
        <v>72</v>
      </c>
      <c r="I13" s="37" t="s">
        <v>77</v>
      </c>
      <c r="J13" s="37" t="s">
        <v>78</v>
      </c>
      <c r="K13" s="37" t="s">
        <v>280</v>
      </c>
      <c r="L13" s="37" t="s">
        <v>160</v>
      </c>
      <c r="M13" s="37" t="s">
        <v>83</v>
      </c>
      <c r="N13" s="34" t="s">
        <v>97</v>
      </c>
      <c r="O13" s="39">
        <v>46232.0</v>
      </c>
      <c r="P13" s="37" t="s">
        <v>105</v>
      </c>
      <c r="Q13" s="39">
        <v>46232.0</v>
      </c>
      <c r="R13" s="37" t="s">
        <v>282</v>
      </c>
    </row>
    <row r="14" ht="14.25" customHeight="1">
      <c r="A14" s="20" t="s">
        <v>284</v>
      </c>
      <c r="B14" s="36">
        <v>46231.0</v>
      </c>
      <c r="C14" s="20" t="s">
        <v>286</v>
      </c>
      <c r="D14" s="20" t="s">
        <v>288</v>
      </c>
      <c r="E14" s="20" t="s">
        <v>289</v>
      </c>
      <c r="F14" s="20" t="s">
        <v>290</v>
      </c>
      <c r="G14" s="20" t="s">
        <v>72</v>
      </c>
      <c r="H14" s="20" t="s">
        <v>72</v>
      </c>
      <c r="I14" s="20" t="s">
        <v>77</v>
      </c>
      <c r="J14" s="20" t="s">
        <v>78</v>
      </c>
      <c r="K14" s="20" t="s">
        <v>294</v>
      </c>
      <c r="L14" s="20" t="s">
        <v>81</v>
      </c>
      <c r="M14" s="20" t="s">
        <v>83</v>
      </c>
      <c r="N14" s="34" t="s">
        <v>97</v>
      </c>
      <c r="O14" s="36">
        <v>46232.0</v>
      </c>
      <c r="P14" s="20" t="s">
        <v>105</v>
      </c>
      <c r="Q14" s="36">
        <v>46232.0</v>
      </c>
      <c r="R14" s="20" t="s">
        <v>298</v>
      </c>
    </row>
    <row r="15" ht="14.25" customHeight="1">
      <c r="A15" s="37" t="s">
        <v>300</v>
      </c>
      <c r="B15" s="39">
        <v>46231.0</v>
      </c>
      <c r="C15" s="37" t="s">
        <v>301</v>
      </c>
      <c r="D15" s="37" t="s">
        <v>302</v>
      </c>
      <c r="E15" s="37" t="s">
        <v>127</v>
      </c>
      <c r="F15" s="37" t="s">
        <v>303</v>
      </c>
      <c r="G15" s="37" t="s">
        <v>63</v>
      </c>
      <c r="H15" s="37" t="s">
        <v>259</v>
      </c>
      <c r="I15" s="37" t="s">
        <v>77</v>
      </c>
      <c r="J15" s="37" t="s">
        <v>78</v>
      </c>
      <c r="K15" s="37" t="s">
        <v>304</v>
      </c>
      <c r="L15" s="37" t="s">
        <v>205</v>
      </c>
      <c r="M15" s="37" t="s">
        <v>162</v>
      </c>
      <c r="N15" s="34" t="s">
        <v>97</v>
      </c>
      <c r="O15" s="39">
        <v>46232.0</v>
      </c>
      <c r="P15" s="37" t="s">
        <v>105</v>
      </c>
      <c r="Q15" s="39">
        <v>46232.0</v>
      </c>
      <c r="R15" s="37" t="s">
        <v>308</v>
      </c>
    </row>
    <row r="16" ht="14.25" customHeight="1">
      <c r="A16" s="20" t="s">
        <v>309</v>
      </c>
      <c r="B16" s="36">
        <v>46231.0</v>
      </c>
      <c r="C16" s="20" t="s">
        <v>310</v>
      </c>
      <c r="D16" s="20" t="s">
        <v>311</v>
      </c>
      <c r="E16" s="20" t="s">
        <v>312</v>
      </c>
      <c r="F16" s="20" t="s">
        <v>313</v>
      </c>
      <c r="G16" s="20" t="s">
        <v>70</v>
      </c>
      <c r="H16" s="20" t="s">
        <v>72</v>
      </c>
      <c r="I16" s="20" t="s">
        <v>77</v>
      </c>
      <c r="J16" s="20" t="s">
        <v>78</v>
      </c>
      <c r="K16" s="20" t="s">
        <v>316</v>
      </c>
      <c r="L16" s="20" t="s">
        <v>160</v>
      </c>
      <c r="M16" s="20" t="s">
        <v>83</v>
      </c>
      <c r="N16" s="34" t="s">
        <v>97</v>
      </c>
      <c r="O16" s="36">
        <v>46233.0</v>
      </c>
      <c r="P16" s="20" t="s">
        <v>105</v>
      </c>
      <c r="Q16" s="36">
        <v>46233.0</v>
      </c>
      <c r="R16" s="20" t="s">
        <v>317</v>
      </c>
    </row>
    <row r="17" ht="14.25" customHeight="1">
      <c r="A17" s="37" t="s">
        <v>318</v>
      </c>
      <c r="B17" s="39">
        <v>46231.0</v>
      </c>
      <c r="C17" s="37" t="s">
        <v>319</v>
      </c>
      <c r="D17" s="37" t="s">
        <v>320</v>
      </c>
      <c r="E17" s="37" t="s">
        <v>321</v>
      </c>
      <c r="F17" s="37" t="s">
        <v>322</v>
      </c>
      <c r="G17" s="37" t="s">
        <v>259</v>
      </c>
      <c r="H17" s="37" t="s">
        <v>259</v>
      </c>
      <c r="I17" s="37" t="s">
        <v>77</v>
      </c>
      <c r="J17" s="37" t="s">
        <v>78</v>
      </c>
      <c r="K17" s="37" t="s">
        <v>324</v>
      </c>
      <c r="L17" s="37" t="s">
        <v>160</v>
      </c>
      <c r="M17" s="37" t="s">
        <v>162</v>
      </c>
      <c r="N17" s="34" t="s">
        <v>97</v>
      </c>
      <c r="O17" s="39">
        <v>46232.0</v>
      </c>
      <c r="P17" s="37" t="s">
        <v>105</v>
      </c>
      <c r="Q17" s="39">
        <v>46232.0</v>
      </c>
      <c r="R17" s="37" t="s">
        <v>326</v>
      </c>
    </row>
    <row r="18" ht="14.25" customHeight="1">
      <c r="A18" s="20" t="s">
        <v>327</v>
      </c>
      <c r="B18" s="36">
        <v>46232.0</v>
      </c>
      <c r="C18" s="20" t="s">
        <v>328</v>
      </c>
      <c r="D18" s="20" t="s">
        <v>329</v>
      </c>
      <c r="E18" s="20" t="s">
        <v>330</v>
      </c>
      <c r="F18" s="20" t="s">
        <v>331</v>
      </c>
      <c r="G18" s="20" t="s">
        <v>63</v>
      </c>
      <c r="H18" s="20" t="s">
        <v>63</v>
      </c>
      <c r="I18" s="20" t="s">
        <v>77</v>
      </c>
      <c r="J18" s="20" t="s">
        <v>78</v>
      </c>
      <c r="K18" s="20" t="s">
        <v>333</v>
      </c>
      <c r="L18" s="20" t="s">
        <v>81</v>
      </c>
      <c r="M18" s="20" t="s">
        <v>162</v>
      </c>
      <c r="N18" s="34" t="s">
        <v>97</v>
      </c>
      <c r="O18" s="36">
        <v>46233.0</v>
      </c>
      <c r="P18" s="20" t="s">
        <v>105</v>
      </c>
      <c r="Q18" s="36">
        <v>46233.0</v>
      </c>
      <c r="R18" s="20" t="s">
        <v>334</v>
      </c>
    </row>
    <row r="19" ht="14.25" customHeight="1">
      <c r="A19" s="37" t="s">
        <v>335</v>
      </c>
      <c r="B19" s="39">
        <v>46232.0</v>
      </c>
      <c r="C19" s="37" t="s">
        <v>336</v>
      </c>
      <c r="D19" s="37" t="s">
        <v>337</v>
      </c>
      <c r="E19" s="37" t="s">
        <v>127</v>
      </c>
      <c r="F19" s="37" t="s">
        <v>128</v>
      </c>
      <c r="G19" s="37" t="s">
        <v>63</v>
      </c>
      <c r="H19" s="37" t="s">
        <v>63</v>
      </c>
      <c r="I19" s="37" t="s">
        <v>77</v>
      </c>
      <c r="J19" s="37" t="s">
        <v>78</v>
      </c>
      <c r="K19" s="37" t="s">
        <v>338</v>
      </c>
      <c r="L19" s="37" t="s">
        <v>205</v>
      </c>
      <c r="M19" s="37" t="s">
        <v>83</v>
      </c>
      <c r="N19" s="34" t="s">
        <v>97</v>
      </c>
      <c r="O19" s="39">
        <v>46233.0</v>
      </c>
      <c r="P19" s="37" t="s">
        <v>105</v>
      </c>
      <c r="Q19" s="39">
        <v>46233.0</v>
      </c>
      <c r="R19" s="37" t="s">
        <v>339</v>
      </c>
    </row>
    <row r="20" ht="14.25" customHeight="1">
      <c r="A20" s="20" t="s">
        <v>340</v>
      </c>
      <c r="B20" s="36">
        <v>46232.0</v>
      </c>
      <c r="C20" s="20" t="s">
        <v>341</v>
      </c>
      <c r="D20" s="20" t="s">
        <v>342</v>
      </c>
      <c r="E20" s="20" t="s">
        <v>343</v>
      </c>
      <c r="F20" s="20" t="s">
        <v>344</v>
      </c>
      <c r="G20" s="20" t="s">
        <v>72</v>
      </c>
      <c r="H20" s="20" t="s">
        <v>72</v>
      </c>
      <c r="I20" s="20" t="s">
        <v>77</v>
      </c>
      <c r="J20" s="20" t="s">
        <v>78</v>
      </c>
      <c r="K20" s="20" t="s">
        <v>347</v>
      </c>
      <c r="L20" s="20" t="s">
        <v>160</v>
      </c>
      <c r="M20" s="20" t="s">
        <v>83</v>
      </c>
      <c r="N20" s="34" t="s">
        <v>97</v>
      </c>
      <c r="O20" s="36">
        <v>46233.0</v>
      </c>
      <c r="P20" s="20" t="s">
        <v>105</v>
      </c>
      <c r="Q20" s="36">
        <v>46233.0</v>
      </c>
      <c r="R20" s="20" t="s">
        <v>349</v>
      </c>
    </row>
    <row r="21" ht="14.25" customHeight="1">
      <c r="A21" s="37" t="s">
        <v>350</v>
      </c>
      <c r="B21" s="39">
        <v>46233.0</v>
      </c>
      <c r="C21" s="37" t="s">
        <v>351</v>
      </c>
      <c r="D21" s="37" t="s">
        <v>352</v>
      </c>
      <c r="E21" s="37" t="s">
        <v>353</v>
      </c>
      <c r="F21" s="37" t="s">
        <v>354</v>
      </c>
      <c r="G21" s="37" t="s">
        <v>72</v>
      </c>
      <c r="H21" s="37" t="s">
        <v>72</v>
      </c>
      <c r="I21" s="37" t="s">
        <v>77</v>
      </c>
      <c r="J21" s="37" t="s">
        <v>78</v>
      </c>
      <c r="K21" s="37" t="s">
        <v>355</v>
      </c>
      <c r="L21" s="37" t="s">
        <v>81</v>
      </c>
      <c r="M21" s="37" t="s">
        <v>162</v>
      </c>
      <c r="N21" s="34" t="s">
        <v>97</v>
      </c>
      <c r="O21" s="39">
        <v>46234.0</v>
      </c>
      <c r="P21" s="37" t="s">
        <v>105</v>
      </c>
      <c r="Q21" s="39">
        <v>46234.0</v>
      </c>
      <c r="R21" s="37" t="s">
        <v>356</v>
      </c>
    </row>
    <row r="22" ht="14.25" customHeight="1">
      <c r="A22" s="20" t="s">
        <v>357</v>
      </c>
      <c r="B22" s="36">
        <v>46233.0</v>
      </c>
      <c r="C22" s="20" t="s">
        <v>358</v>
      </c>
      <c r="D22" s="20" t="s">
        <v>360</v>
      </c>
      <c r="E22" s="20" t="s">
        <v>361</v>
      </c>
      <c r="F22" s="20" t="s">
        <v>363</v>
      </c>
      <c r="G22" s="20" t="s">
        <v>63</v>
      </c>
      <c r="H22" s="20" t="s">
        <v>63</v>
      </c>
      <c r="I22" s="20" t="s">
        <v>77</v>
      </c>
      <c r="J22" s="20" t="s">
        <v>78</v>
      </c>
      <c r="K22" s="20" t="s">
        <v>355</v>
      </c>
      <c r="L22" s="34" t="s">
        <v>205</v>
      </c>
      <c r="M22" s="20" t="s">
        <v>162</v>
      </c>
      <c r="N22" s="34" t="s">
        <v>97</v>
      </c>
      <c r="O22" s="36">
        <v>46234.0</v>
      </c>
      <c r="P22" s="20" t="s">
        <v>105</v>
      </c>
      <c r="Q22" s="36">
        <v>46234.0</v>
      </c>
      <c r="R22" s="20" t="s">
        <v>366</v>
      </c>
    </row>
    <row r="23" ht="14.25" customHeight="1">
      <c r="A23" s="37" t="s">
        <v>367</v>
      </c>
      <c r="B23" s="39">
        <v>46233.0</v>
      </c>
      <c r="C23" s="37" t="s">
        <v>368</v>
      </c>
      <c r="D23" s="37" t="s">
        <v>369</v>
      </c>
      <c r="E23" s="37" t="s">
        <v>370</v>
      </c>
      <c r="F23" s="37" t="s">
        <v>371</v>
      </c>
      <c r="G23" s="37" t="s">
        <v>72</v>
      </c>
      <c r="H23" s="37" t="s">
        <v>72</v>
      </c>
      <c r="I23" s="37" t="s">
        <v>77</v>
      </c>
      <c r="J23" s="37" t="s">
        <v>78</v>
      </c>
      <c r="K23" s="37" t="s">
        <v>372</v>
      </c>
      <c r="L23" s="37" t="s">
        <v>160</v>
      </c>
      <c r="M23" s="37" t="s">
        <v>83</v>
      </c>
      <c r="N23" s="34" t="s">
        <v>97</v>
      </c>
      <c r="O23" s="39">
        <v>46235.0</v>
      </c>
      <c r="P23" s="37" t="s">
        <v>105</v>
      </c>
      <c r="Q23" s="39">
        <v>46235.0</v>
      </c>
      <c r="R23" s="37" t="s">
        <v>375</v>
      </c>
    </row>
    <row r="24" ht="14.25" customHeight="1">
      <c r="A24" s="37" t="s">
        <v>377</v>
      </c>
      <c r="B24" s="39">
        <v>46233.0</v>
      </c>
      <c r="C24" s="37" t="s">
        <v>378</v>
      </c>
      <c r="D24" s="37" t="s">
        <v>379</v>
      </c>
      <c r="E24" s="37" t="s">
        <v>380</v>
      </c>
      <c r="F24" s="37" t="s">
        <v>381</v>
      </c>
      <c r="G24" s="37" t="s">
        <v>259</v>
      </c>
      <c r="H24" s="37" t="s">
        <v>259</v>
      </c>
      <c r="I24" s="45" t="s">
        <v>77</v>
      </c>
      <c r="J24" s="37" t="s">
        <v>78</v>
      </c>
      <c r="K24" s="37" t="s">
        <v>382</v>
      </c>
      <c r="L24" s="37" t="s">
        <v>81</v>
      </c>
      <c r="M24" s="37" t="s">
        <v>162</v>
      </c>
      <c r="N24" s="34" t="s">
        <v>97</v>
      </c>
      <c r="O24" s="39">
        <v>46235.0</v>
      </c>
      <c r="P24" s="37" t="s">
        <v>105</v>
      </c>
      <c r="Q24" s="39">
        <v>46235.0</v>
      </c>
      <c r="R24" s="37" t="s">
        <v>385</v>
      </c>
    </row>
    <row r="25" ht="14.25" customHeight="1">
      <c r="A25" s="20" t="s">
        <v>386</v>
      </c>
      <c r="B25" s="36">
        <v>46234.0</v>
      </c>
      <c r="C25" s="20" t="s">
        <v>387</v>
      </c>
      <c r="D25" s="20" t="s">
        <v>388</v>
      </c>
      <c r="E25" s="20" t="s">
        <v>389</v>
      </c>
      <c r="F25" s="20" t="s">
        <v>390</v>
      </c>
      <c r="G25" s="20" t="s">
        <v>63</v>
      </c>
      <c r="H25" s="20" t="s">
        <v>63</v>
      </c>
      <c r="I25" s="20" t="s">
        <v>77</v>
      </c>
      <c r="J25" s="20" t="s">
        <v>78</v>
      </c>
      <c r="K25" s="20" t="s">
        <v>393</v>
      </c>
      <c r="L25" s="34" t="s">
        <v>81</v>
      </c>
      <c r="M25" s="34" t="s">
        <v>83</v>
      </c>
      <c r="N25" s="34" t="s">
        <v>97</v>
      </c>
      <c r="O25" s="36">
        <v>46235.0</v>
      </c>
      <c r="P25" s="20" t="s">
        <v>105</v>
      </c>
      <c r="Q25" s="36">
        <v>46235.0</v>
      </c>
      <c r="R25" s="20" t="s">
        <v>394</v>
      </c>
    </row>
    <row r="26" ht="14.25" customHeight="1">
      <c r="A26" s="37" t="s">
        <v>395</v>
      </c>
      <c r="B26" s="39">
        <v>46234.0</v>
      </c>
      <c r="C26" s="37" t="s">
        <v>396</v>
      </c>
      <c r="D26" s="37" t="s">
        <v>397</v>
      </c>
      <c r="E26" s="37" t="s">
        <v>398</v>
      </c>
      <c r="F26" s="37" t="s">
        <v>399</v>
      </c>
      <c r="G26" s="37" t="s">
        <v>72</v>
      </c>
      <c r="H26" s="37" t="s">
        <v>72</v>
      </c>
      <c r="I26" s="37" t="s">
        <v>77</v>
      </c>
      <c r="J26" s="37" t="s">
        <v>78</v>
      </c>
      <c r="K26" s="37" t="s">
        <v>393</v>
      </c>
      <c r="L26" s="37" t="s">
        <v>81</v>
      </c>
      <c r="M26" s="37" t="s">
        <v>83</v>
      </c>
      <c r="N26" s="34" t="s">
        <v>97</v>
      </c>
      <c r="O26" s="39">
        <v>46235.0</v>
      </c>
      <c r="P26" s="37" t="s">
        <v>105</v>
      </c>
      <c r="Q26" s="39">
        <v>46235.0</v>
      </c>
      <c r="R26" s="37" t="s">
        <v>401</v>
      </c>
    </row>
    <row r="27" ht="14.25" customHeight="1">
      <c r="A27" s="20" t="s">
        <v>402</v>
      </c>
      <c r="B27" s="36">
        <v>46235.0</v>
      </c>
      <c r="C27" s="20" t="s">
        <v>403</v>
      </c>
      <c r="D27" s="20" t="s">
        <v>404</v>
      </c>
      <c r="E27" s="20" t="s">
        <v>405</v>
      </c>
      <c r="F27" s="20" t="s">
        <v>406</v>
      </c>
      <c r="G27" s="20" t="s">
        <v>63</v>
      </c>
      <c r="H27" s="20" t="s">
        <v>63</v>
      </c>
      <c r="I27" s="20" t="s">
        <v>77</v>
      </c>
      <c r="J27" s="20" t="s">
        <v>78</v>
      </c>
      <c r="K27" s="20" t="s">
        <v>407</v>
      </c>
      <c r="L27" s="34" t="s">
        <v>81</v>
      </c>
      <c r="M27" s="20" t="s">
        <v>83</v>
      </c>
      <c r="N27" s="34" t="s">
        <v>97</v>
      </c>
      <c r="O27" s="36">
        <v>46236.0</v>
      </c>
      <c r="P27" s="20" t="s">
        <v>105</v>
      </c>
      <c r="Q27" s="36">
        <v>46236.0</v>
      </c>
      <c r="R27" s="20" t="s">
        <v>408</v>
      </c>
    </row>
    <row r="28" ht="14.25" customHeight="1">
      <c r="A28" s="37" t="s">
        <v>409</v>
      </c>
      <c r="B28" s="39">
        <v>46234.0</v>
      </c>
      <c r="C28" s="37" t="s">
        <v>411</v>
      </c>
      <c r="D28" s="37" t="s">
        <v>413</v>
      </c>
      <c r="E28" s="37" t="s">
        <v>414</v>
      </c>
      <c r="F28" s="37" t="s">
        <v>415</v>
      </c>
      <c r="G28" s="37" t="s">
        <v>63</v>
      </c>
      <c r="H28" s="37" t="s">
        <v>63</v>
      </c>
      <c r="I28" s="45" t="s">
        <v>417</v>
      </c>
      <c r="J28" s="37" t="s">
        <v>418</v>
      </c>
      <c r="K28" s="37" t="s">
        <v>419</v>
      </c>
      <c r="L28" s="37" t="s">
        <v>81</v>
      </c>
      <c r="M28" s="37" t="s">
        <v>205</v>
      </c>
      <c r="N28" s="34" t="s">
        <v>97</v>
      </c>
      <c r="O28" s="39">
        <v>46181.0</v>
      </c>
      <c r="P28" s="37" t="s">
        <v>105</v>
      </c>
      <c r="Q28" s="39">
        <v>46181.0</v>
      </c>
      <c r="R28" s="37" t="s">
        <v>420</v>
      </c>
    </row>
    <row r="29" ht="14.25" customHeight="1">
      <c r="A29" s="20" t="s">
        <v>421</v>
      </c>
      <c r="B29" s="36">
        <v>46235.0</v>
      </c>
      <c r="C29" s="68" t="s">
        <v>422</v>
      </c>
      <c r="D29" s="20" t="s">
        <v>423</v>
      </c>
      <c r="E29" s="20" t="s">
        <v>424</v>
      </c>
      <c r="F29" s="20" t="s">
        <v>426</v>
      </c>
      <c r="G29" s="20" t="s">
        <v>72</v>
      </c>
      <c r="H29" s="20" t="s">
        <v>72</v>
      </c>
      <c r="I29" s="34" t="s">
        <v>427</v>
      </c>
      <c r="J29" s="20" t="s">
        <v>418</v>
      </c>
      <c r="K29" s="20" t="s">
        <v>429</v>
      </c>
      <c r="L29" s="20" t="s">
        <v>81</v>
      </c>
      <c r="M29" s="20" t="s">
        <v>205</v>
      </c>
      <c r="N29" s="34" t="s">
        <v>97</v>
      </c>
      <c r="O29" s="36">
        <v>46181.0</v>
      </c>
      <c r="P29" s="20" t="s">
        <v>105</v>
      </c>
      <c r="Q29" s="36">
        <v>46181.0</v>
      </c>
      <c r="R29" s="20" t="s">
        <v>430</v>
      </c>
    </row>
    <row r="30" ht="14.25" customHeight="1">
      <c r="A30" s="37" t="s">
        <v>431</v>
      </c>
      <c r="B30" s="39">
        <v>46234.0</v>
      </c>
      <c r="C30" s="37" t="s">
        <v>432</v>
      </c>
      <c r="D30" s="37" t="s">
        <v>433</v>
      </c>
      <c r="E30" s="37" t="s">
        <v>434</v>
      </c>
      <c r="F30" s="37" t="s">
        <v>435</v>
      </c>
      <c r="G30" s="37" t="s">
        <v>72</v>
      </c>
      <c r="H30" s="37" t="s">
        <v>72</v>
      </c>
      <c r="I30" s="37" t="s">
        <v>417</v>
      </c>
      <c r="J30" s="37" t="s">
        <v>418</v>
      </c>
      <c r="K30" s="37" t="s">
        <v>437</v>
      </c>
      <c r="L30" s="37" t="s">
        <v>81</v>
      </c>
      <c r="M30" s="37" t="s">
        <v>205</v>
      </c>
      <c r="N30" s="34" t="s">
        <v>97</v>
      </c>
      <c r="O30" s="39">
        <v>46181.0</v>
      </c>
      <c r="P30" s="37" t="s">
        <v>105</v>
      </c>
      <c r="Q30" s="39">
        <v>46181.0</v>
      </c>
      <c r="R30" s="37" t="s">
        <v>439</v>
      </c>
    </row>
    <row r="31" ht="14.25" customHeight="1">
      <c r="A31" s="20" t="s">
        <v>440</v>
      </c>
      <c r="B31" s="36">
        <v>46235.0</v>
      </c>
      <c r="C31" s="20" t="s">
        <v>441</v>
      </c>
      <c r="D31" s="20" t="s">
        <v>442</v>
      </c>
      <c r="E31" s="20" t="s">
        <v>443</v>
      </c>
      <c r="F31" s="20" t="s">
        <v>444</v>
      </c>
      <c r="G31" s="20" t="s">
        <v>72</v>
      </c>
      <c r="H31" s="20" t="s">
        <v>72</v>
      </c>
      <c r="I31" s="20" t="s">
        <v>417</v>
      </c>
      <c r="J31" s="20" t="s">
        <v>418</v>
      </c>
      <c r="K31" s="20" t="s">
        <v>446</v>
      </c>
      <c r="L31" s="20" t="s">
        <v>81</v>
      </c>
      <c r="M31" s="20" t="s">
        <v>205</v>
      </c>
      <c r="N31" s="34" t="s">
        <v>97</v>
      </c>
      <c r="O31" s="36">
        <v>46211.0</v>
      </c>
      <c r="P31" s="20" t="s">
        <v>105</v>
      </c>
      <c r="Q31" s="36">
        <v>46211.0</v>
      </c>
      <c r="R31" s="20" t="s">
        <v>449</v>
      </c>
    </row>
    <row r="32" ht="14.25" customHeight="1">
      <c r="A32" s="37" t="s">
        <v>450</v>
      </c>
      <c r="B32" s="39">
        <v>46234.0</v>
      </c>
      <c r="C32" s="37" t="s">
        <v>451</v>
      </c>
      <c r="D32" s="37" t="s">
        <v>452</v>
      </c>
      <c r="E32" s="37" t="s">
        <v>453</v>
      </c>
      <c r="F32" s="37" t="s">
        <v>454</v>
      </c>
      <c r="G32" s="37" t="s">
        <v>63</v>
      </c>
      <c r="H32" s="37" t="s">
        <v>63</v>
      </c>
      <c r="I32" s="37" t="s">
        <v>417</v>
      </c>
      <c r="J32" s="37" t="s">
        <v>418</v>
      </c>
      <c r="K32" s="37" t="s">
        <v>455</v>
      </c>
      <c r="L32" s="37" t="s">
        <v>81</v>
      </c>
      <c r="M32" s="37" t="s">
        <v>205</v>
      </c>
      <c r="N32" s="34" t="s">
        <v>97</v>
      </c>
      <c r="O32" s="39">
        <v>46211.0</v>
      </c>
      <c r="P32" s="37" t="s">
        <v>105</v>
      </c>
      <c r="Q32" s="39">
        <v>46211.0</v>
      </c>
      <c r="R32" s="37" t="s">
        <v>457</v>
      </c>
    </row>
    <row r="33" ht="14.25" customHeight="1">
      <c r="A33" s="69" t="s">
        <v>459</v>
      </c>
      <c r="B33" s="36">
        <v>46235.0</v>
      </c>
      <c r="C33" s="69" t="s">
        <v>460</v>
      </c>
      <c r="D33" s="69" t="s">
        <v>461</v>
      </c>
      <c r="E33" s="69" t="s">
        <v>462</v>
      </c>
      <c r="F33" s="70" t="s">
        <v>463</v>
      </c>
      <c r="G33" s="69" t="s">
        <v>72</v>
      </c>
      <c r="H33" s="69" t="s">
        <v>72</v>
      </c>
      <c r="I33" s="71" t="s">
        <v>466</v>
      </c>
      <c r="J33" s="69" t="s">
        <v>418</v>
      </c>
      <c r="K33" s="69" t="s">
        <v>467</v>
      </c>
      <c r="L33" s="20" t="s">
        <v>81</v>
      </c>
      <c r="M33" s="20" t="s">
        <v>81</v>
      </c>
      <c r="N33" s="34" t="s">
        <v>97</v>
      </c>
      <c r="O33" s="36">
        <v>46211.0</v>
      </c>
      <c r="P33" s="20" t="s">
        <v>105</v>
      </c>
      <c r="Q33" s="36">
        <v>46211.0</v>
      </c>
      <c r="R33" s="69" t="s">
        <v>469</v>
      </c>
    </row>
    <row r="34" ht="14.25" customHeight="1">
      <c r="A34" s="72" t="s">
        <v>470</v>
      </c>
      <c r="B34" s="39">
        <v>46234.0</v>
      </c>
      <c r="C34" s="72" t="s">
        <v>471</v>
      </c>
      <c r="D34" s="72" t="s">
        <v>472</v>
      </c>
      <c r="E34" s="72" t="s">
        <v>473</v>
      </c>
      <c r="F34" s="72" t="s">
        <v>474</v>
      </c>
      <c r="G34" s="72" t="s">
        <v>63</v>
      </c>
      <c r="H34" s="72" t="s">
        <v>63</v>
      </c>
      <c r="I34" s="73" t="s">
        <v>466</v>
      </c>
      <c r="J34" s="72" t="s">
        <v>418</v>
      </c>
      <c r="K34" s="72" t="s">
        <v>475</v>
      </c>
      <c r="L34" s="37" t="s">
        <v>81</v>
      </c>
      <c r="M34" s="73" t="s">
        <v>162</v>
      </c>
      <c r="N34" s="34" t="s">
        <v>97</v>
      </c>
      <c r="O34" s="39">
        <v>46211.0</v>
      </c>
      <c r="P34" s="37" t="s">
        <v>105</v>
      </c>
      <c r="Q34" s="39">
        <v>46211.0</v>
      </c>
      <c r="R34" s="72" t="s">
        <v>477</v>
      </c>
    </row>
    <row r="35" ht="14.25" customHeight="1">
      <c r="A35" s="69" t="s">
        <v>479</v>
      </c>
      <c r="B35" s="36">
        <v>46235.0</v>
      </c>
      <c r="C35" s="69" t="s">
        <v>480</v>
      </c>
      <c r="D35" s="69" t="s">
        <v>481</v>
      </c>
      <c r="E35" s="69" t="s">
        <v>482</v>
      </c>
      <c r="F35" s="69" t="s">
        <v>484</v>
      </c>
      <c r="G35" s="69" t="s">
        <v>72</v>
      </c>
      <c r="H35" s="69" t="s">
        <v>72</v>
      </c>
      <c r="I35" s="71" t="s">
        <v>466</v>
      </c>
      <c r="J35" s="69" t="s">
        <v>418</v>
      </c>
      <c r="K35" s="69" t="s">
        <v>485</v>
      </c>
      <c r="L35" s="20" t="s">
        <v>81</v>
      </c>
      <c r="M35" s="20" t="s">
        <v>160</v>
      </c>
      <c r="N35" s="34" t="s">
        <v>97</v>
      </c>
      <c r="O35" s="36">
        <v>46211.0</v>
      </c>
      <c r="P35" s="20" t="s">
        <v>105</v>
      </c>
      <c r="Q35" s="36">
        <v>46211.0</v>
      </c>
      <c r="R35" s="69" t="s">
        <v>486</v>
      </c>
    </row>
    <row r="36" ht="14.25" customHeight="1">
      <c r="A36" s="72" t="s">
        <v>487</v>
      </c>
      <c r="B36" s="39">
        <v>46234.0</v>
      </c>
      <c r="C36" s="72" t="s">
        <v>488</v>
      </c>
      <c r="D36" s="72" t="s">
        <v>489</v>
      </c>
      <c r="E36" s="72" t="s">
        <v>490</v>
      </c>
      <c r="F36" s="72" t="s">
        <v>491</v>
      </c>
      <c r="G36" s="72" t="s">
        <v>72</v>
      </c>
      <c r="H36" s="72" t="s">
        <v>72</v>
      </c>
      <c r="I36" s="73" t="s">
        <v>466</v>
      </c>
      <c r="J36" s="72" t="s">
        <v>418</v>
      </c>
      <c r="K36" s="72" t="s">
        <v>492</v>
      </c>
      <c r="L36" s="37" t="s">
        <v>81</v>
      </c>
      <c r="M36" s="37" t="s">
        <v>162</v>
      </c>
      <c r="N36" s="34" t="s">
        <v>97</v>
      </c>
      <c r="O36" s="39">
        <v>46211.0</v>
      </c>
      <c r="P36" s="37" t="s">
        <v>105</v>
      </c>
      <c r="Q36" s="39">
        <v>46211.0</v>
      </c>
      <c r="R36" s="72" t="s">
        <v>493</v>
      </c>
    </row>
    <row r="37" ht="14.25" customHeight="1">
      <c r="A37" s="69" t="s">
        <v>495</v>
      </c>
      <c r="B37" s="36">
        <v>46235.0</v>
      </c>
      <c r="C37" s="69" t="s">
        <v>497</v>
      </c>
      <c r="D37" s="69" t="s">
        <v>498</v>
      </c>
      <c r="E37" s="69" t="s">
        <v>499</v>
      </c>
      <c r="F37" s="69" t="s">
        <v>500</v>
      </c>
      <c r="G37" s="74" t="s">
        <v>70</v>
      </c>
      <c r="H37" s="71" t="s">
        <v>70</v>
      </c>
      <c r="I37" s="71" t="s">
        <v>466</v>
      </c>
      <c r="J37" s="69" t="s">
        <v>418</v>
      </c>
      <c r="K37" s="69" t="s">
        <v>501</v>
      </c>
      <c r="L37" s="20" t="s">
        <v>81</v>
      </c>
      <c r="M37" s="71" t="s">
        <v>162</v>
      </c>
      <c r="N37" s="34" t="s">
        <v>97</v>
      </c>
      <c r="O37" s="36">
        <v>46211.0</v>
      </c>
      <c r="P37" s="20" t="s">
        <v>105</v>
      </c>
      <c r="Q37" s="36">
        <v>46211.0</v>
      </c>
      <c r="R37" s="69" t="s">
        <v>505</v>
      </c>
    </row>
    <row r="38" ht="14.25" customHeight="1">
      <c r="A38" s="72" t="s">
        <v>506</v>
      </c>
      <c r="B38" s="39">
        <v>46234.0</v>
      </c>
      <c r="C38" s="72" t="s">
        <v>507</v>
      </c>
      <c r="D38" s="72" t="s">
        <v>508</v>
      </c>
      <c r="E38" s="72" t="s">
        <v>510</v>
      </c>
      <c r="F38" s="72" t="s">
        <v>511</v>
      </c>
      <c r="G38" s="72" t="s">
        <v>259</v>
      </c>
      <c r="H38" s="72" t="s">
        <v>63</v>
      </c>
      <c r="I38" s="73" t="s">
        <v>512</v>
      </c>
      <c r="J38" s="72" t="s">
        <v>418</v>
      </c>
      <c r="K38" s="72" t="s">
        <v>513</v>
      </c>
      <c r="L38" s="37" t="s">
        <v>81</v>
      </c>
      <c r="M38" s="37" t="s">
        <v>83</v>
      </c>
      <c r="N38" s="72" t="s">
        <v>97</v>
      </c>
      <c r="O38" s="39">
        <v>46211.0</v>
      </c>
      <c r="P38" s="72" t="s">
        <v>516</v>
      </c>
      <c r="Q38" s="39">
        <v>46211.0</v>
      </c>
      <c r="R38" s="72" t="s">
        <v>517</v>
      </c>
    </row>
    <row r="39" ht="14.25" customHeight="1">
      <c r="A39" s="69" t="s">
        <v>518</v>
      </c>
      <c r="B39" s="36">
        <v>46235.0</v>
      </c>
      <c r="C39" s="69" t="s">
        <v>519</v>
      </c>
      <c r="D39" s="69" t="s">
        <v>521</v>
      </c>
      <c r="E39" s="69" t="s">
        <v>522</v>
      </c>
      <c r="F39" s="69" t="s">
        <v>524</v>
      </c>
      <c r="G39" s="69" t="s">
        <v>259</v>
      </c>
      <c r="H39" s="69" t="s">
        <v>63</v>
      </c>
      <c r="I39" s="71" t="s">
        <v>512</v>
      </c>
      <c r="J39" s="69" t="s">
        <v>418</v>
      </c>
      <c r="K39" s="69" t="s">
        <v>529</v>
      </c>
      <c r="L39" s="20" t="s">
        <v>81</v>
      </c>
      <c r="M39" s="20" t="s">
        <v>83</v>
      </c>
      <c r="N39" s="69" t="s">
        <v>97</v>
      </c>
      <c r="O39" s="36">
        <v>46211.0</v>
      </c>
      <c r="P39" s="69" t="s">
        <v>516</v>
      </c>
      <c r="Q39" s="36">
        <v>46211.0</v>
      </c>
      <c r="R39" s="69" t="s">
        <v>535</v>
      </c>
    </row>
    <row r="40" ht="14.25" customHeight="1">
      <c r="A40" s="72" t="s">
        <v>536</v>
      </c>
      <c r="B40" s="39">
        <v>46234.0</v>
      </c>
      <c r="C40" s="72" t="s">
        <v>538</v>
      </c>
      <c r="D40" s="72" t="s">
        <v>539</v>
      </c>
      <c r="E40" s="72" t="s">
        <v>540</v>
      </c>
      <c r="F40" s="72" t="s">
        <v>541</v>
      </c>
      <c r="G40" s="72" t="s">
        <v>259</v>
      </c>
      <c r="H40" s="72" t="s">
        <v>63</v>
      </c>
      <c r="I40" s="73" t="s">
        <v>512</v>
      </c>
      <c r="J40" s="72" t="s">
        <v>418</v>
      </c>
      <c r="K40" s="72" t="s">
        <v>542</v>
      </c>
      <c r="L40" s="37" t="s">
        <v>81</v>
      </c>
      <c r="M40" s="37" t="s">
        <v>83</v>
      </c>
      <c r="N40" s="72" t="s">
        <v>97</v>
      </c>
      <c r="O40" s="39">
        <v>46211.0</v>
      </c>
      <c r="P40" s="72" t="s">
        <v>516</v>
      </c>
      <c r="Q40" s="39">
        <v>46211.0</v>
      </c>
      <c r="R40" s="72" t="s">
        <v>546</v>
      </c>
    </row>
    <row r="41" ht="14.25" customHeight="1">
      <c r="A41" s="69" t="s">
        <v>547</v>
      </c>
      <c r="B41" s="36">
        <v>46235.0</v>
      </c>
      <c r="C41" s="69" t="s">
        <v>548</v>
      </c>
      <c r="D41" s="69" t="s">
        <v>549</v>
      </c>
      <c r="E41" s="69" t="s">
        <v>550</v>
      </c>
      <c r="F41" s="69" t="s">
        <v>552</v>
      </c>
      <c r="G41" s="69" t="s">
        <v>259</v>
      </c>
      <c r="H41" s="69" t="s">
        <v>63</v>
      </c>
      <c r="I41" s="71" t="s">
        <v>512</v>
      </c>
      <c r="J41" s="69" t="s">
        <v>418</v>
      </c>
      <c r="K41" s="69" t="s">
        <v>554</v>
      </c>
      <c r="L41" s="20" t="s">
        <v>81</v>
      </c>
      <c r="M41" s="20" t="s">
        <v>83</v>
      </c>
      <c r="N41" s="69" t="s">
        <v>97</v>
      </c>
      <c r="O41" s="36">
        <v>46211.0</v>
      </c>
      <c r="P41" s="69" t="s">
        <v>516</v>
      </c>
      <c r="Q41" s="36">
        <v>46211.0</v>
      </c>
      <c r="R41" s="69" t="s">
        <v>558</v>
      </c>
    </row>
    <row r="42" ht="14.25" customHeight="1">
      <c r="A42" s="72" t="s">
        <v>559</v>
      </c>
      <c r="B42" s="39">
        <v>46232.0</v>
      </c>
      <c r="C42" s="72" t="s">
        <v>561</v>
      </c>
      <c r="D42" s="72" t="s">
        <v>563</v>
      </c>
      <c r="E42" s="72" t="s">
        <v>564</v>
      </c>
      <c r="F42" s="72" t="s">
        <v>565</v>
      </c>
      <c r="G42" s="72" t="s">
        <v>72</v>
      </c>
      <c r="H42" s="72" t="s">
        <v>72</v>
      </c>
      <c r="I42" s="73" t="s">
        <v>512</v>
      </c>
      <c r="J42" s="72" t="s">
        <v>418</v>
      </c>
      <c r="K42" s="72" t="s">
        <v>567</v>
      </c>
      <c r="L42" s="37" t="s">
        <v>81</v>
      </c>
      <c r="M42" s="37" t="s">
        <v>83</v>
      </c>
      <c r="N42" s="72" t="s">
        <v>97</v>
      </c>
      <c r="O42" s="39">
        <v>46211.0</v>
      </c>
      <c r="P42" s="72" t="s">
        <v>516</v>
      </c>
      <c r="Q42" s="39">
        <v>46211.0</v>
      </c>
      <c r="R42" s="72" t="s">
        <v>570</v>
      </c>
    </row>
    <row r="43" ht="14.25" customHeight="1">
      <c r="A43" s="69" t="s">
        <v>571</v>
      </c>
      <c r="B43" s="36">
        <v>46232.0</v>
      </c>
      <c r="C43" s="69" t="s">
        <v>573</v>
      </c>
      <c r="D43" s="69" t="s">
        <v>574</v>
      </c>
      <c r="E43" s="69" t="s">
        <v>575</v>
      </c>
      <c r="F43" s="69" t="s">
        <v>577</v>
      </c>
      <c r="G43" s="69" t="s">
        <v>72</v>
      </c>
      <c r="H43" s="69" t="s">
        <v>72</v>
      </c>
      <c r="I43" s="71" t="s">
        <v>512</v>
      </c>
      <c r="J43" s="69" t="s">
        <v>418</v>
      </c>
      <c r="K43" s="69" t="s">
        <v>567</v>
      </c>
      <c r="L43" s="20" t="s">
        <v>81</v>
      </c>
      <c r="M43" s="20" t="s">
        <v>83</v>
      </c>
      <c r="N43" s="69" t="s">
        <v>97</v>
      </c>
      <c r="O43" s="36">
        <v>46211.0</v>
      </c>
      <c r="P43" s="69" t="s">
        <v>516</v>
      </c>
      <c r="Q43" s="36">
        <v>46211.0</v>
      </c>
      <c r="R43" s="69" t="s">
        <v>584</v>
      </c>
    </row>
    <row r="44" ht="14.25" customHeight="1">
      <c r="A44" s="72" t="s">
        <v>586</v>
      </c>
      <c r="B44" s="39">
        <v>46232.0</v>
      </c>
      <c r="C44" s="72" t="s">
        <v>588</v>
      </c>
      <c r="D44" s="72" t="s">
        <v>590</v>
      </c>
      <c r="E44" s="72" t="s">
        <v>591</v>
      </c>
      <c r="F44" s="72" t="s">
        <v>592</v>
      </c>
      <c r="G44" s="72" t="s">
        <v>72</v>
      </c>
      <c r="H44" s="72" t="s">
        <v>72</v>
      </c>
      <c r="I44" s="73" t="s">
        <v>512</v>
      </c>
      <c r="J44" s="72" t="s">
        <v>418</v>
      </c>
      <c r="K44" s="72" t="s">
        <v>596</v>
      </c>
      <c r="L44" s="37" t="s">
        <v>81</v>
      </c>
      <c r="M44" s="37" t="s">
        <v>83</v>
      </c>
      <c r="N44" s="72" t="s">
        <v>97</v>
      </c>
      <c r="O44" s="39">
        <v>46211.0</v>
      </c>
      <c r="P44" s="72" t="s">
        <v>516</v>
      </c>
      <c r="Q44" s="39">
        <v>46211.0</v>
      </c>
      <c r="R44" s="72" t="s">
        <v>602</v>
      </c>
    </row>
    <row r="45" ht="14.25" customHeight="1">
      <c r="A45" s="69" t="s">
        <v>603</v>
      </c>
      <c r="B45" s="36">
        <v>46232.0</v>
      </c>
      <c r="C45" s="69" t="s">
        <v>611</v>
      </c>
      <c r="D45" s="69" t="s">
        <v>613</v>
      </c>
      <c r="E45" s="69" t="s">
        <v>614</v>
      </c>
      <c r="F45" s="69" t="s">
        <v>616</v>
      </c>
      <c r="G45" s="71" t="s">
        <v>617</v>
      </c>
      <c r="H45" s="69" t="s">
        <v>72</v>
      </c>
      <c r="I45" s="71" t="s">
        <v>512</v>
      </c>
      <c r="J45" s="69" t="s">
        <v>418</v>
      </c>
      <c r="K45" s="69" t="s">
        <v>622</v>
      </c>
      <c r="L45" s="20" t="s">
        <v>81</v>
      </c>
      <c r="M45" s="20" t="s">
        <v>83</v>
      </c>
      <c r="N45" s="69" t="s">
        <v>97</v>
      </c>
      <c r="O45" s="36">
        <v>46211.0</v>
      </c>
      <c r="P45" s="69" t="s">
        <v>516</v>
      </c>
      <c r="Q45" s="36">
        <v>46211.0</v>
      </c>
      <c r="R45" s="69" t="s">
        <v>628</v>
      </c>
    </row>
    <row r="46" ht="14.25" customHeight="1">
      <c r="A46" s="72" t="s">
        <v>631</v>
      </c>
      <c r="B46" s="39">
        <v>46232.0</v>
      </c>
      <c r="C46" s="72" t="s">
        <v>632</v>
      </c>
      <c r="D46" s="72" t="s">
        <v>634</v>
      </c>
      <c r="E46" s="72" t="s">
        <v>635</v>
      </c>
      <c r="F46" s="72" t="s">
        <v>636</v>
      </c>
      <c r="G46" s="72" t="s">
        <v>259</v>
      </c>
      <c r="H46" s="72" t="s">
        <v>63</v>
      </c>
      <c r="I46" s="73" t="s">
        <v>512</v>
      </c>
      <c r="J46" s="72" t="s">
        <v>418</v>
      </c>
      <c r="K46" s="72" t="s">
        <v>638</v>
      </c>
      <c r="L46" s="37" t="s">
        <v>81</v>
      </c>
      <c r="M46" s="37" t="s">
        <v>83</v>
      </c>
      <c r="N46" s="72" t="s">
        <v>97</v>
      </c>
      <c r="O46" s="39">
        <v>46211.0</v>
      </c>
      <c r="P46" s="72" t="s">
        <v>516</v>
      </c>
      <c r="Q46" s="39">
        <v>46211.0</v>
      </c>
      <c r="R46" s="72" t="s">
        <v>642</v>
      </c>
    </row>
    <row r="47" ht="14.25" customHeight="1">
      <c r="A47" s="69" t="s">
        <v>643</v>
      </c>
      <c r="B47" s="36">
        <v>46232.0</v>
      </c>
      <c r="C47" s="69" t="s">
        <v>644</v>
      </c>
      <c r="D47" s="69" t="s">
        <v>645</v>
      </c>
      <c r="E47" s="69" t="s">
        <v>646</v>
      </c>
      <c r="F47" s="69" t="s">
        <v>647</v>
      </c>
      <c r="G47" s="69" t="s">
        <v>259</v>
      </c>
      <c r="H47" s="69" t="s">
        <v>63</v>
      </c>
      <c r="I47" s="71" t="s">
        <v>512</v>
      </c>
      <c r="J47" s="69" t="s">
        <v>418</v>
      </c>
      <c r="K47" s="69" t="s">
        <v>648</v>
      </c>
      <c r="L47" s="20" t="s">
        <v>81</v>
      </c>
      <c r="M47" s="20" t="s">
        <v>83</v>
      </c>
      <c r="N47" s="69" t="s">
        <v>97</v>
      </c>
      <c r="O47" s="36">
        <v>46211.0</v>
      </c>
      <c r="P47" s="69" t="s">
        <v>516</v>
      </c>
      <c r="Q47" s="36">
        <v>46211.0</v>
      </c>
      <c r="R47" s="69" t="s">
        <v>654</v>
      </c>
    </row>
    <row r="48" ht="14.25" customHeight="1">
      <c r="A48" s="72" t="s">
        <v>655</v>
      </c>
      <c r="B48" s="39">
        <v>46232.0</v>
      </c>
      <c r="C48" s="72" t="s">
        <v>656</v>
      </c>
      <c r="D48" s="72" t="s">
        <v>657</v>
      </c>
      <c r="E48" s="72" t="s">
        <v>658</v>
      </c>
      <c r="F48" s="72" t="s">
        <v>659</v>
      </c>
      <c r="G48" s="72" t="s">
        <v>72</v>
      </c>
      <c r="H48" s="72" t="s">
        <v>72</v>
      </c>
      <c r="I48" s="73" t="s">
        <v>512</v>
      </c>
      <c r="J48" s="72" t="s">
        <v>418</v>
      </c>
      <c r="K48" s="72" t="s">
        <v>661</v>
      </c>
      <c r="L48" s="37" t="s">
        <v>81</v>
      </c>
      <c r="M48" s="37" t="s">
        <v>83</v>
      </c>
      <c r="N48" s="72" t="s">
        <v>97</v>
      </c>
      <c r="O48" s="39">
        <v>46211.0</v>
      </c>
      <c r="P48" s="72" t="s">
        <v>516</v>
      </c>
      <c r="Q48" s="39">
        <v>46211.0</v>
      </c>
      <c r="R48" s="72" t="s">
        <v>662</v>
      </c>
    </row>
    <row r="49" ht="14.25" customHeight="1">
      <c r="A49" s="69" t="s">
        <v>665</v>
      </c>
      <c r="B49" s="36">
        <v>46232.0</v>
      </c>
      <c r="C49" s="69" t="s">
        <v>666</v>
      </c>
      <c r="D49" s="69" t="s">
        <v>667</v>
      </c>
      <c r="E49" s="69" t="s">
        <v>668</v>
      </c>
      <c r="F49" s="69" t="s">
        <v>669</v>
      </c>
      <c r="G49" s="69" t="s">
        <v>259</v>
      </c>
      <c r="H49" s="69" t="s">
        <v>63</v>
      </c>
      <c r="I49" s="71" t="s">
        <v>512</v>
      </c>
      <c r="J49" s="69" t="s">
        <v>418</v>
      </c>
      <c r="K49" s="69" t="s">
        <v>670</v>
      </c>
      <c r="L49" s="20" t="s">
        <v>81</v>
      </c>
      <c r="M49" s="20" t="s">
        <v>83</v>
      </c>
      <c r="N49" s="69" t="s">
        <v>97</v>
      </c>
      <c r="O49" s="36">
        <v>46211.0</v>
      </c>
      <c r="P49" s="69" t="s">
        <v>516</v>
      </c>
      <c r="Q49" s="36">
        <v>46211.0</v>
      </c>
      <c r="R49" s="69" t="s">
        <v>673</v>
      </c>
    </row>
    <row r="50" ht="14.25" customHeight="1">
      <c r="A50" s="72" t="s">
        <v>674</v>
      </c>
      <c r="B50" s="39">
        <v>46232.0</v>
      </c>
      <c r="C50" s="72" t="s">
        <v>676</v>
      </c>
      <c r="D50" s="72" t="s">
        <v>679</v>
      </c>
      <c r="E50" s="72" t="s">
        <v>680</v>
      </c>
      <c r="F50" s="72" t="s">
        <v>681</v>
      </c>
      <c r="G50" s="72" t="s">
        <v>72</v>
      </c>
      <c r="H50" s="72" t="s">
        <v>72</v>
      </c>
      <c r="I50" s="73" t="s">
        <v>512</v>
      </c>
      <c r="J50" s="72" t="s">
        <v>418</v>
      </c>
      <c r="K50" s="72" t="s">
        <v>684</v>
      </c>
      <c r="L50" s="37" t="s">
        <v>81</v>
      </c>
      <c r="M50" s="37" t="s">
        <v>83</v>
      </c>
      <c r="N50" s="72" t="s">
        <v>97</v>
      </c>
      <c r="O50" s="39">
        <v>46211.0</v>
      </c>
      <c r="P50" s="72" t="s">
        <v>516</v>
      </c>
      <c r="Q50" s="39">
        <v>46211.0</v>
      </c>
      <c r="R50" s="72" t="s">
        <v>687</v>
      </c>
    </row>
    <row r="51" ht="14.25" customHeight="1">
      <c r="A51" s="69" t="s">
        <v>688</v>
      </c>
      <c r="B51" s="36">
        <v>46232.0</v>
      </c>
      <c r="C51" s="69" t="s">
        <v>689</v>
      </c>
      <c r="D51" s="69" t="s">
        <v>690</v>
      </c>
      <c r="E51" s="69" t="s">
        <v>691</v>
      </c>
      <c r="F51" s="69" t="s">
        <v>692</v>
      </c>
      <c r="G51" s="69" t="s">
        <v>72</v>
      </c>
      <c r="H51" s="69" t="s">
        <v>72</v>
      </c>
      <c r="I51" s="71" t="s">
        <v>512</v>
      </c>
      <c r="J51" s="69" t="s">
        <v>418</v>
      </c>
      <c r="K51" s="69" t="s">
        <v>695</v>
      </c>
      <c r="L51" s="20" t="s">
        <v>81</v>
      </c>
      <c r="M51" s="20" t="s">
        <v>83</v>
      </c>
      <c r="N51" s="69" t="s">
        <v>97</v>
      </c>
      <c r="O51" s="36">
        <v>46211.0</v>
      </c>
      <c r="P51" s="69" t="s">
        <v>516</v>
      </c>
      <c r="Q51" s="36">
        <v>46211.0</v>
      </c>
      <c r="R51" s="69" t="s">
        <v>699</v>
      </c>
    </row>
    <row r="52" ht="14.25" customHeight="1">
      <c r="A52" s="72" t="s">
        <v>703</v>
      </c>
      <c r="B52" s="39">
        <v>46232.0</v>
      </c>
      <c r="C52" s="72" t="s">
        <v>704</v>
      </c>
      <c r="D52" s="72" t="s">
        <v>705</v>
      </c>
      <c r="E52" s="72" t="s">
        <v>706</v>
      </c>
      <c r="F52" s="72" t="s">
        <v>707</v>
      </c>
      <c r="G52" s="72" t="s">
        <v>72</v>
      </c>
      <c r="H52" s="72" t="s">
        <v>72</v>
      </c>
      <c r="I52" s="73" t="s">
        <v>512</v>
      </c>
      <c r="J52" s="72" t="s">
        <v>418</v>
      </c>
      <c r="K52" s="72" t="s">
        <v>710</v>
      </c>
      <c r="L52" s="37" t="s">
        <v>81</v>
      </c>
      <c r="M52" s="37" t="s">
        <v>83</v>
      </c>
      <c r="N52" s="72" t="s">
        <v>97</v>
      </c>
      <c r="O52" s="39">
        <v>46211.0</v>
      </c>
      <c r="P52" s="72" t="s">
        <v>516</v>
      </c>
      <c r="Q52" s="39">
        <v>46211.0</v>
      </c>
      <c r="R52" s="72" t="s">
        <v>714</v>
      </c>
    </row>
    <row r="53" ht="14.25" customHeight="1">
      <c r="A53" s="69" t="s">
        <v>717</v>
      </c>
      <c r="B53" s="36">
        <v>46232.0</v>
      </c>
      <c r="C53" s="69" t="s">
        <v>718</v>
      </c>
      <c r="D53" s="69" t="s">
        <v>719</v>
      </c>
      <c r="E53" s="69" t="s">
        <v>720</v>
      </c>
      <c r="F53" s="69" t="s">
        <v>721</v>
      </c>
      <c r="G53" s="69" t="s">
        <v>259</v>
      </c>
      <c r="H53" s="69" t="s">
        <v>63</v>
      </c>
      <c r="I53" s="71" t="s">
        <v>512</v>
      </c>
      <c r="J53" s="69" t="s">
        <v>418</v>
      </c>
      <c r="K53" s="69" t="s">
        <v>724</v>
      </c>
      <c r="L53" s="20" t="s">
        <v>81</v>
      </c>
      <c r="M53" s="20" t="s">
        <v>83</v>
      </c>
      <c r="N53" s="69" t="s">
        <v>97</v>
      </c>
      <c r="O53" s="36">
        <v>46211.0</v>
      </c>
      <c r="P53" s="69" t="s">
        <v>516</v>
      </c>
      <c r="Q53" s="36">
        <v>46211.0</v>
      </c>
      <c r="R53" s="69" t="s">
        <v>729</v>
      </c>
    </row>
    <row r="54" ht="14.25" customHeight="1">
      <c r="A54" s="72" t="s">
        <v>730</v>
      </c>
      <c r="B54" s="39">
        <v>46232.0</v>
      </c>
      <c r="C54" s="72" t="s">
        <v>732</v>
      </c>
      <c r="D54" s="72" t="s">
        <v>734</v>
      </c>
      <c r="E54" s="72" t="s">
        <v>735</v>
      </c>
      <c r="F54" s="72" t="s">
        <v>736</v>
      </c>
      <c r="G54" s="73" t="s">
        <v>259</v>
      </c>
      <c r="H54" s="72" t="s">
        <v>63</v>
      </c>
      <c r="I54" s="73" t="s">
        <v>512</v>
      </c>
      <c r="J54" s="72" t="s">
        <v>418</v>
      </c>
      <c r="K54" s="72" t="s">
        <v>739</v>
      </c>
      <c r="L54" s="37" t="s">
        <v>81</v>
      </c>
      <c r="M54" s="37" t="s">
        <v>83</v>
      </c>
      <c r="N54" s="72" t="s">
        <v>97</v>
      </c>
      <c r="O54" s="39">
        <v>46211.0</v>
      </c>
      <c r="P54" s="72" t="s">
        <v>516</v>
      </c>
      <c r="Q54" s="39">
        <v>46211.0</v>
      </c>
      <c r="R54" s="72" t="s">
        <v>741</v>
      </c>
    </row>
    <row r="55" ht="14.25" customHeight="1">
      <c r="A55" s="69" t="s">
        <v>743</v>
      </c>
      <c r="B55" s="36">
        <v>46232.0</v>
      </c>
      <c r="C55" s="69" t="s">
        <v>744</v>
      </c>
      <c r="D55" s="69" t="s">
        <v>745</v>
      </c>
      <c r="E55" s="69" t="s">
        <v>746</v>
      </c>
      <c r="F55" s="69" t="s">
        <v>748</v>
      </c>
      <c r="G55" s="71" t="s">
        <v>72</v>
      </c>
      <c r="H55" s="69" t="s">
        <v>72</v>
      </c>
      <c r="I55" s="71" t="s">
        <v>512</v>
      </c>
      <c r="J55" s="69" t="s">
        <v>418</v>
      </c>
      <c r="K55" s="69" t="s">
        <v>752</v>
      </c>
      <c r="L55" s="20" t="s">
        <v>81</v>
      </c>
      <c r="M55" s="20" t="s">
        <v>83</v>
      </c>
      <c r="N55" s="69" t="s">
        <v>97</v>
      </c>
      <c r="O55" s="36">
        <v>46211.0</v>
      </c>
      <c r="P55" s="69" t="s">
        <v>516</v>
      </c>
      <c r="Q55" s="36">
        <v>46211.0</v>
      </c>
      <c r="R55" s="69" t="s">
        <v>755</v>
      </c>
    </row>
    <row r="56" ht="14.25" customHeight="1">
      <c r="A56" s="73" t="s">
        <v>757</v>
      </c>
      <c r="B56" s="39">
        <v>46232.0</v>
      </c>
      <c r="C56" s="72" t="s">
        <v>758</v>
      </c>
      <c r="D56" s="72" t="s">
        <v>759</v>
      </c>
      <c r="E56" s="72" t="s">
        <v>760</v>
      </c>
      <c r="F56" s="72" t="s">
        <v>762</v>
      </c>
      <c r="G56" s="73" t="s">
        <v>259</v>
      </c>
      <c r="H56" s="72" t="s">
        <v>63</v>
      </c>
      <c r="I56" s="73" t="s">
        <v>512</v>
      </c>
      <c r="J56" s="72" t="s">
        <v>418</v>
      </c>
      <c r="K56" s="72" t="s">
        <v>764</v>
      </c>
      <c r="L56" s="37" t="s">
        <v>81</v>
      </c>
      <c r="M56" s="37" t="s">
        <v>83</v>
      </c>
      <c r="N56" s="72" t="s">
        <v>97</v>
      </c>
      <c r="O56" s="39">
        <v>46211.0</v>
      </c>
      <c r="P56" s="72" t="s">
        <v>516</v>
      </c>
      <c r="Q56" s="92">
        <v>46211.0</v>
      </c>
      <c r="R56" s="72" t="s">
        <v>769</v>
      </c>
    </row>
    <row r="57" ht="14.25" customHeight="1">
      <c r="A57" s="93" t="s">
        <v>771</v>
      </c>
      <c r="B57" s="94">
        <v>46245.0</v>
      </c>
      <c r="C57" s="93" t="s">
        <v>776</v>
      </c>
      <c r="D57" s="93" t="s">
        <v>777</v>
      </c>
      <c r="E57" s="93" t="s">
        <v>778</v>
      </c>
      <c r="F57" s="93" t="s">
        <v>779</v>
      </c>
      <c r="G57" s="93" t="s">
        <v>63</v>
      </c>
      <c r="H57" s="93" t="s">
        <v>72</v>
      </c>
      <c r="I57" s="93" t="s">
        <v>77</v>
      </c>
      <c r="J57" s="93" t="s">
        <v>78</v>
      </c>
      <c r="K57" s="93" t="s">
        <v>782</v>
      </c>
      <c r="L57" s="93" t="s">
        <v>81</v>
      </c>
      <c r="M57" s="93" t="s">
        <v>83</v>
      </c>
      <c r="N57" s="93" t="s">
        <v>97</v>
      </c>
      <c r="O57" s="94">
        <v>46246.0</v>
      </c>
      <c r="P57" s="93" t="s">
        <v>785</v>
      </c>
      <c r="Q57" s="94">
        <v>46219.0</v>
      </c>
      <c r="R57" s="93" t="s">
        <v>788</v>
      </c>
      <c r="S57" s="95"/>
      <c r="T57" s="95"/>
      <c r="U57" s="95"/>
      <c r="V57" s="95"/>
      <c r="W57" s="95"/>
    </row>
    <row r="58" ht="14.25" customHeight="1">
      <c r="A58" s="96" t="s">
        <v>792</v>
      </c>
      <c r="B58" s="97">
        <v>46245.0</v>
      </c>
      <c r="C58" s="96" t="s">
        <v>793</v>
      </c>
      <c r="D58" s="96" t="s">
        <v>794</v>
      </c>
      <c r="E58" s="96" t="s">
        <v>795</v>
      </c>
      <c r="F58" s="96" t="s">
        <v>796</v>
      </c>
      <c r="G58" s="96" t="s">
        <v>259</v>
      </c>
      <c r="H58" s="96" t="s">
        <v>72</v>
      </c>
      <c r="I58" s="96" t="s">
        <v>77</v>
      </c>
      <c r="J58" s="96" t="s">
        <v>78</v>
      </c>
      <c r="K58" s="96" t="s">
        <v>797</v>
      </c>
      <c r="L58" s="96" t="s">
        <v>160</v>
      </c>
      <c r="M58" s="96" t="s">
        <v>83</v>
      </c>
      <c r="N58" s="96" t="s">
        <v>97</v>
      </c>
      <c r="O58" s="97">
        <v>46246.0</v>
      </c>
      <c r="P58" s="96" t="s">
        <v>785</v>
      </c>
      <c r="Q58" s="97">
        <v>46219.0</v>
      </c>
      <c r="R58" s="96" t="s">
        <v>798</v>
      </c>
      <c r="S58" s="95"/>
      <c r="T58" s="95"/>
      <c r="U58" s="95"/>
      <c r="V58" s="95"/>
      <c r="W58" s="95"/>
    </row>
    <row r="59" ht="14.25" customHeight="1">
      <c r="A59" s="93" t="s">
        <v>799</v>
      </c>
      <c r="B59" s="94">
        <v>46245.0</v>
      </c>
      <c r="C59" s="93" t="s">
        <v>800</v>
      </c>
      <c r="D59" s="93" t="s">
        <v>801</v>
      </c>
      <c r="E59" s="93" t="s">
        <v>802</v>
      </c>
      <c r="F59" s="93" t="s">
        <v>803</v>
      </c>
      <c r="G59" s="93" t="s">
        <v>259</v>
      </c>
      <c r="H59" s="93" t="s">
        <v>72</v>
      </c>
      <c r="I59" s="93" t="s">
        <v>77</v>
      </c>
      <c r="J59" s="93" t="s">
        <v>78</v>
      </c>
      <c r="K59" s="93" t="s">
        <v>804</v>
      </c>
      <c r="L59" s="93" t="s">
        <v>160</v>
      </c>
      <c r="M59" s="93" t="s">
        <v>83</v>
      </c>
      <c r="N59" s="93" t="s">
        <v>97</v>
      </c>
      <c r="O59" s="94">
        <v>46246.0</v>
      </c>
      <c r="P59" s="93" t="s">
        <v>785</v>
      </c>
      <c r="Q59" s="94">
        <v>46219.0</v>
      </c>
      <c r="R59" s="93" t="s">
        <v>805</v>
      </c>
      <c r="S59" s="95"/>
      <c r="T59" s="95"/>
      <c r="U59" s="95"/>
      <c r="V59" s="95"/>
      <c r="W59" s="95"/>
    </row>
    <row r="60" ht="14.25" customHeight="1">
      <c r="A60" s="96" t="s">
        <v>806</v>
      </c>
      <c r="B60" s="97">
        <v>46245.0</v>
      </c>
      <c r="C60" s="96" t="s">
        <v>807</v>
      </c>
      <c r="D60" s="96" t="s">
        <v>808</v>
      </c>
      <c r="E60" s="96" t="s">
        <v>809</v>
      </c>
      <c r="F60" s="96" t="s">
        <v>810</v>
      </c>
      <c r="G60" s="96" t="s">
        <v>63</v>
      </c>
      <c r="H60" s="96" t="s">
        <v>72</v>
      </c>
      <c r="I60" s="96" t="s">
        <v>77</v>
      </c>
      <c r="J60" s="96" t="s">
        <v>78</v>
      </c>
      <c r="K60" s="96" t="s">
        <v>811</v>
      </c>
      <c r="L60" s="96" t="s">
        <v>160</v>
      </c>
      <c r="M60" s="96" t="s">
        <v>83</v>
      </c>
      <c r="N60" s="96" t="s">
        <v>97</v>
      </c>
      <c r="O60" s="97">
        <v>46246.0</v>
      </c>
      <c r="P60" s="96" t="s">
        <v>785</v>
      </c>
      <c r="Q60" s="97">
        <v>46219.0</v>
      </c>
      <c r="R60" s="96" t="s">
        <v>812</v>
      </c>
      <c r="S60" s="95"/>
      <c r="T60" s="95"/>
      <c r="U60" s="95"/>
      <c r="V60" s="95"/>
      <c r="W60" s="95"/>
    </row>
    <row r="61" ht="14.25" customHeight="1">
      <c r="A61" s="93" t="s">
        <v>813</v>
      </c>
      <c r="B61" s="94">
        <v>46245.0</v>
      </c>
      <c r="C61" s="93" t="s">
        <v>814</v>
      </c>
      <c r="D61" s="93" t="s">
        <v>815</v>
      </c>
      <c r="E61" s="93" t="s">
        <v>816</v>
      </c>
      <c r="F61" s="93" t="s">
        <v>817</v>
      </c>
      <c r="G61" s="93" t="s">
        <v>72</v>
      </c>
      <c r="H61" s="93" t="s">
        <v>72</v>
      </c>
      <c r="I61" s="93" t="s">
        <v>77</v>
      </c>
      <c r="J61" s="93" t="s">
        <v>78</v>
      </c>
      <c r="K61" s="93" t="s">
        <v>818</v>
      </c>
      <c r="L61" s="93" t="s">
        <v>160</v>
      </c>
      <c r="M61" s="93" t="s">
        <v>83</v>
      </c>
      <c r="N61" s="93" t="s">
        <v>97</v>
      </c>
      <c r="O61" s="94">
        <v>46245.0</v>
      </c>
      <c r="P61" s="93" t="s">
        <v>785</v>
      </c>
      <c r="Q61" s="94">
        <v>46262.0</v>
      </c>
      <c r="R61" s="93" t="s">
        <v>819</v>
      </c>
      <c r="S61" s="95"/>
      <c r="T61" s="95"/>
      <c r="U61" s="95"/>
      <c r="V61" s="95"/>
      <c r="W61" s="95"/>
    </row>
    <row r="62" ht="14.25" customHeight="1">
      <c r="A62" s="96" t="s">
        <v>820</v>
      </c>
      <c r="B62" s="97">
        <v>46245.0</v>
      </c>
      <c r="C62" s="96" t="s">
        <v>821</v>
      </c>
      <c r="D62" s="96" t="s">
        <v>822</v>
      </c>
      <c r="E62" s="96" t="s">
        <v>823</v>
      </c>
      <c r="F62" s="96" t="s">
        <v>824</v>
      </c>
      <c r="G62" s="96" t="s">
        <v>72</v>
      </c>
      <c r="H62" s="96" t="s">
        <v>72</v>
      </c>
      <c r="I62" s="96" t="s">
        <v>77</v>
      </c>
      <c r="J62" s="96" t="s">
        <v>78</v>
      </c>
      <c r="K62" s="96" t="s">
        <v>818</v>
      </c>
      <c r="L62" s="96" t="s">
        <v>160</v>
      </c>
      <c r="M62" s="96" t="s">
        <v>83</v>
      </c>
      <c r="N62" s="96" t="s">
        <v>97</v>
      </c>
      <c r="O62" s="97">
        <v>46245.0</v>
      </c>
      <c r="P62" s="96" t="s">
        <v>785</v>
      </c>
      <c r="Q62" s="97">
        <v>46262.0</v>
      </c>
      <c r="R62" s="96" t="s">
        <v>825</v>
      </c>
      <c r="S62" s="95"/>
      <c r="T62" s="95"/>
      <c r="U62" s="95"/>
      <c r="V62" s="95"/>
      <c r="W62" s="95"/>
    </row>
    <row r="63" ht="14.25" customHeight="1">
      <c r="A63" s="93" t="s">
        <v>826</v>
      </c>
      <c r="B63" s="94">
        <v>46245.0</v>
      </c>
      <c r="C63" s="93" t="s">
        <v>827</v>
      </c>
      <c r="D63" s="93" t="s">
        <v>828</v>
      </c>
      <c r="E63" s="93" t="s">
        <v>829</v>
      </c>
      <c r="F63" s="93" t="s">
        <v>830</v>
      </c>
      <c r="G63" s="93" t="s">
        <v>72</v>
      </c>
      <c r="H63" s="93" t="s">
        <v>72</v>
      </c>
      <c r="I63" s="93" t="s">
        <v>77</v>
      </c>
      <c r="J63" s="93" t="s">
        <v>78</v>
      </c>
      <c r="K63" s="93" t="s">
        <v>818</v>
      </c>
      <c r="L63" s="93" t="s">
        <v>160</v>
      </c>
      <c r="M63" s="93" t="s">
        <v>83</v>
      </c>
      <c r="N63" s="93" t="s">
        <v>97</v>
      </c>
      <c r="O63" s="94">
        <v>46245.0</v>
      </c>
      <c r="P63" s="93" t="s">
        <v>785</v>
      </c>
      <c r="Q63" s="94">
        <v>46262.0</v>
      </c>
      <c r="R63" s="93" t="s">
        <v>831</v>
      </c>
      <c r="S63" s="95"/>
      <c r="T63" s="95"/>
      <c r="U63" s="95"/>
      <c r="V63" s="95"/>
      <c r="W63" s="95"/>
    </row>
    <row r="64" ht="14.25" customHeight="1">
      <c r="A64" s="96" t="s">
        <v>832</v>
      </c>
      <c r="B64" s="97">
        <v>46245.0</v>
      </c>
      <c r="C64" s="96" t="s">
        <v>833</v>
      </c>
      <c r="D64" s="96" t="s">
        <v>834</v>
      </c>
      <c r="E64" s="96" t="s">
        <v>835</v>
      </c>
      <c r="F64" s="96" t="s">
        <v>836</v>
      </c>
      <c r="G64" s="96" t="s">
        <v>70</v>
      </c>
      <c r="H64" s="96" t="s">
        <v>72</v>
      </c>
      <c r="I64" s="96" t="s">
        <v>77</v>
      </c>
      <c r="J64" s="96" t="s">
        <v>78</v>
      </c>
      <c r="K64" s="96" t="s">
        <v>837</v>
      </c>
      <c r="L64" s="96" t="s">
        <v>160</v>
      </c>
      <c r="M64" s="96" t="s">
        <v>83</v>
      </c>
      <c r="N64" s="96" t="s">
        <v>97</v>
      </c>
      <c r="O64" s="97">
        <v>46245.0</v>
      </c>
      <c r="P64" s="96" t="s">
        <v>785</v>
      </c>
      <c r="Q64" s="97">
        <v>46233.0</v>
      </c>
      <c r="R64" s="96" t="s">
        <v>838</v>
      </c>
      <c r="S64" s="95"/>
      <c r="T64" s="95"/>
      <c r="U64" s="95"/>
      <c r="V64" s="95"/>
      <c r="W64" s="95"/>
    </row>
    <row r="65" ht="14.25" customHeight="1">
      <c r="A65" s="93" t="s">
        <v>839</v>
      </c>
      <c r="B65" s="94">
        <v>46245.0</v>
      </c>
      <c r="C65" s="93" t="s">
        <v>840</v>
      </c>
      <c r="D65" s="93" t="s">
        <v>841</v>
      </c>
      <c r="E65" s="93" t="s">
        <v>842</v>
      </c>
      <c r="F65" s="93" t="s">
        <v>843</v>
      </c>
      <c r="G65" s="93" t="s">
        <v>70</v>
      </c>
      <c r="H65" s="93" t="s">
        <v>72</v>
      </c>
      <c r="I65" s="93" t="s">
        <v>77</v>
      </c>
      <c r="J65" s="93" t="s">
        <v>78</v>
      </c>
      <c r="K65" s="93" t="s">
        <v>837</v>
      </c>
      <c r="L65" s="93" t="s">
        <v>160</v>
      </c>
      <c r="M65" s="93" t="s">
        <v>83</v>
      </c>
      <c r="N65" s="93" t="s">
        <v>97</v>
      </c>
      <c r="O65" s="94">
        <v>46245.0</v>
      </c>
      <c r="P65" s="93" t="s">
        <v>785</v>
      </c>
      <c r="Q65" s="94">
        <v>46233.0</v>
      </c>
      <c r="R65" s="93" t="s">
        <v>844</v>
      </c>
      <c r="S65" s="95"/>
      <c r="T65" s="95"/>
      <c r="U65" s="95"/>
      <c r="V65" s="95"/>
      <c r="W65" s="95"/>
    </row>
    <row r="66" ht="14.25" customHeight="1">
      <c r="A66" s="96" t="s">
        <v>845</v>
      </c>
      <c r="B66" s="97">
        <v>46245.0</v>
      </c>
      <c r="C66" s="96" t="s">
        <v>846</v>
      </c>
      <c r="D66" s="96" t="s">
        <v>847</v>
      </c>
      <c r="E66" s="96" t="s">
        <v>848</v>
      </c>
      <c r="F66" s="96" t="s">
        <v>849</v>
      </c>
      <c r="G66" s="96" t="s">
        <v>70</v>
      </c>
      <c r="H66" s="96" t="s">
        <v>72</v>
      </c>
      <c r="I66" s="96" t="s">
        <v>77</v>
      </c>
      <c r="J66" s="96" t="s">
        <v>78</v>
      </c>
      <c r="K66" s="96" t="s">
        <v>837</v>
      </c>
      <c r="L66" s="96" t="s">
        <v>160</v>
      </c>
      <c r="M66" s="96" t="s">
        <v>83</v>
      </c>
      <c r="N66" s="96" t="s">
        <v>97</v>
      </c>
      <c r="O66" s="97">
        <v>46245.0</v>
      </c>
      <c r="P66" s="96" t="s">
        <v>785</v>
      </c>
      <c r="Q66" s="97">
        <v>46235.0</v>
      </c>
      <c r="R66" s="96" t="s">
        <v>850</v>
      </c>
      <c r="S66" s="95"/>
      <c r="T66" s="95"/>
      <c r="U66" s="95"/>
      <c r="V66" s="95"/>
      <c r="W66" s="95"/>
    </row>
    <row r="67" ht="14.25" customHeight="1">
      <c r="A67" s="93" t="s">
        <v>851</v>
      </c>
      <c r="B67" s="94">
        <v>46245.0</v>
      </c>
      <c r="C67" s="93" t="s">
        <v>852</v>
      </c>
      <c r="D67" s="93" t="s">
        <v>853</v>
      </c>
      <c r="E67" s="93" t="s">
        <v>854</v>
      </c>
      <c r="F67" s="93" t="s">
        <v>855</v>
      </c>
      <c r="G67" s="93" t="s">
        <v>70</v>
      </c>
      <c r="H67" s="93" t="s">
        <v>72</v>
      </c>
      <c r="I67" s="93" t="s">
        <v>77</v>
      </c>
      <c r="J67" s="93" t="s">
        <v>78</v>
      </c>
      <c r="K67" s="93" t="s">
        <v>837</v>
      </c>
      <c r="L67" s="93" t="s">
        <v>160</v>
      </c>
      <c r="M67" s="93" t="s">
        <v>83</v>
      </c>
      <c r="N67" s="93" t="s">
        <v>97</v>
      </c>
      <c r="O67" s="94">
        <v>46245.0</v>
      </c>
      <c r="P67" s="93" t="s">
        <v>785</v>
      </c>
      <c r="Q67" s="94">
        <v>46235.0</v>
      </c>
      <c r="R67" s="93" t="s">
        <v>856</v>
      </c>
      <c r="S67" s="95"/>
      <c r="T67" s="95"/>
      <c r="U67" s="95"/>
      <c r="V67" s="95"/>
      <c r="W67" s="95"/>
    </row>
    <row r="68" ht="14.25" customHeight="1">
      <c r="A68" s="96" t="s">
        <v>857</v>
      </c>
      <c r="B68" s="97">
        <v>46245.0</v>
      </c>
      <c r="C68" s="96" t="s">
        <v>858</v>
      </c>
      <c r="D68" s="96" t="s">
        <v>859</v>
      </c>
      <c r="E68" s="96" t="s">
        <v>860</v>
      </c>
      <c r="F68" s="96" t="s">
        <v>861</v>
      </c>
      <c r="G68" s="96" t="s">
        <v>70</v>
      </c>
      <c r="H68" s="96" t="s">
        <v>72</v>
      </c>
      <c r="I68" s="96" t="s">
        <v>77</v>
      </c>
      <c r="J68" s="96" t="s">
        <v>78</v>
      </c>
      <c r="K68" s="96" t="s">
        <v>837</v>
      </c>
      <c r="L68" s="96" t="s">
        <v>160</v>
      </c>
      <c r="M68" s="96" t="s">
        <v>83</v>
      </c>
      <c r="N68" s="96" t="s">
        <v>97</v>
      </c>
      <c r="O68" s="97">
        <v>46245.0</v>
      </c>
      <c r="P68" s="96" t="s">
        <v>785</v>
      </c>
      <c r="Q68" s="97">
        <v>46236.0</v>
      </c>
      <c r="R68" s="96" t="s">
        <v>862</v>
      </c>
      <c r="S68" s="95"/>
      <c r="T68" s="95"/>
      <c r="U68" s="95"/>
      <c r="V68" s="95"/>
      <c r="W68" s="95"/>
    </row>
    <row r="69" ht="14.25" customHeight="1">
      <c r="A69" s="93" t="s">
        <v>863</v>
      </c>
      <c r="B69" s="94">
        <v>46245.0</v>
      </c>
      <c r="C69" s="93" t="s">
        <v>864</v>
      </c>
      <c r="D69" s="93" t="s">
        <v>865</v>
      </c>
      <c r="E69" s="93" t="s">
        <v>866</v>
      </c>
      <c r="F69" s="93" t="s">
        <v>867</v>
      </c>
      <c r="G69" s="93" t="s">
        <v>72</v>
      </c>
      <c r="H69" s="93" t="s">
        <v>72</v>
      </c>
      <c r="I69" s="93" t="s">
        <v>77</v>
      </c>
      <c r="J69" s="93" t="s">
        <v>78</v>
      </c>
      <c r="K69" s="93" t="s">
        <v>868</v>
      </c>
      <c r="L69" s="93" t="s">
        <v>160</v>
      </c>
      <c r="M69" s="93" t="s">
        <v>83</v>
      </c>
      <c r="N69" s="93" t="s">
        <v>97</v>
      </c>
      <c r="O69" s="94">
        <v>46245.0</v>
      </c>
      <c r="P69" s="93" t="s">
        <v>785</v>
      </c>
      <c r="Q69" s="94">
        <v>46236.0</v>
      </c>
      <c r="R69" s="93" t="s">
        <v>869</v>
      </c>
      <c r="S69" s="95"/>
      <c r="T69" s="95"/>
      <c r="U69" s="95"/>
      <c r="V69" s="95"/>
      <c r="W69" s="95"/>
    </row>
    <row r="70" ht="14.25" customHeight="1">
      <c r="A70" s="96" t="s">
        <v>870</v>
      </c>
      <c r="B70" s="97">
        <v>46245.0</v>
      </c>
      <c r="C70" s="96" t="s">
        <v>871</v>
      </c>
      <c r="D70" s="96" t="s">
        <v>872</v>
      </c>
      <c r="E70" s="96" t="s">
        <v>873</v>
      </c>
      <c r="F70" s="96" t="s">
        <v>874</v>
      </c>
      <c r="G70" s="96" t="s">
        <v>72</v>
      </c>
      <c r="H70" s="96" t="s">
        <v>72</v>
      </c>
      <c r="I70" s="96" t="s">
        <v>77</v>
      </c>
      <c r="J70" s="96" t="s">
        <v>78</v>
      </c>
      <c r="K70" s="96" t="s">
        <v>875</v>
      </c>
      <c r="L70" s="96" t="s">
        <v>162</v>
      </c>
      <c r="M70" s="96" t="s">
        <v>205</v>
      </c>
      <c r="N70" s="96" t="s">
        <v>97</v>
      </c>
      <c r="O70" s="97">
        <v>46245.0</v>
      </c>
      <c r="P70" s="96" t="s">
        <v>785</v>
      </c>
      <c r="Q70" s="97">
        <v>46236.0</v>
      </c>
      <c r="R70" s="96" t="s">
        <v>876</v>
      </c>
      <c r="S70" s="95"/>
      <c r="T70" s="95"/>
      <c r="U70" s="95"/>
      <c r="V70" s="95"/>
      <c r="W70" s="95"/>
    </row>
    <row r="71" ht="14.25" customHeight="1">
      <c r="A71" s="93" t="s">
        <v>877</v>
      </c>
      <c r="B71" s="94">
        <v>46245.0</v>
      </c>
      <c r="C71" s="93" t="s">
        <v>878</v>
      </c>
      <c r="D71" s="93" t="s">
        <v>879</v>
      </c>
      <c r="E71" s="93" t="s">
        <v>880</v>
      </c>
      <c r="F71" s="93" t="s">
        <v>881</v>
      </c>
      <c r="G71" s="93" t="s">
        <v>70</v>
      </c>
      <c r="H71" s="93" t="s">
        <v>72</v>
      </c>
      <c r="I71" s="93" t="s">
        <v>77</v>
      </c>
      <c r="J71" s="93" t="s">
        <v>78</v>
      </c>
      <c r="K71" s="93" t="s">
        <v>875</v>
      </c>
      <c r="L71" s="93" t="s">
        <v>162</v>
      </c>
      <c r="M71" s="93" t="s">
        <v>205</v>
      </c>
      <c r="N71" s="93" t="s">
        <v>97</v>
      </c>
      <c r="O71" s="94">
        <v>46245.0</v>
      </c>
      <c r="P71" s="93" t="s">
        <v>785</v>
      </c>
      <c r="Q71" s="94">
        <v>46237.0</v>
      </c>
      <c r="R71" s="93" t="s">
        <v>882</v>
      </c>
      <c r="S71" s="95"/>
      <c r="T71" s="95"/>
      <c r="U71" s="95"/>
      <c r="V71" s="95"/>
      <c r="W71" s="95"/>
    </row>
    <row r="72" ht="14.25" customHeight="1">
      <c r="A72" s="96" t="s">
        <v>883</v>
      </c>
      <c r="B72" s="97">
        <v>46245.0</v>
      </c>
      <c r="C72" s="96" t="s">
        <v>884</v>
      </c>
      <c r="D72" s="96" t="s">
        <v>885</v>
      </c>
      <c r="E72" s="96" t="s">
        <v>886</v>
      </c>
      <c r="F72" s="96" t="s">
        <v>887</v>
      </c>
      <c r="G72" s="96" t="s">
        <v>63</v>
      </c>
      <c r="H72" s="96" t="s">
        <v>63</v>
      </c>
      <c r="I72" s="96" t="s">
        <v>77</v>
      </c>
      <c r="J72" s="96" t="s">
        <v>78</v>
      </c>
      <c r="K72" s="96" t="s">
        <v>888</v>
      </c>
      <c r="L72" s="96" t="s">
        <v>205</v>
      </c>
      <c r="M72" s="96" t="s">
        <v>83</v>
      </c>
      <c r="N72" s="96" t="s">
        <v>97</v>
      </c>
      <c r="O72" s="97">
        <v>46245.0</v>
      </c>
      <c r="P72" s="96" t="s">
        <v>785</v>
      </c>
      <c r="Q72" s="97">
        <v>46237.0</v>
      </c>
      <c r="R72" s="96" t="s">
        <v>889</v>
      </c>
      <c r="S72" s="95"/>
      <c r="T72" s="95"/>
      <c r="U72" s="95"/>
      <c r="V72" s="95"/>
      <c r="W72" s="95"/>
    </row>
    <row r="73" ht="14.25" customHeight="1">
      <c r="A73" s="93" t="s">
        <v>890</v>
      </c>
      <c r="B73" s="94">
        <v>46245.0</v>
      </c>
      <c r="C73" s="93" t="s">
        <v>891</v>
      </c>
      <c r="D73" s="93" t="s">
        <v>892</v>
      </c>
      <c r="E73" s="93" t="s">
        <v>893</v>
      </c>
      <c r="F73" s="93" t="s">
        <v>894</v>
      </c>
      <c r="G73" s="93" t="s">
        <v>63</v>
      </c>
      <c r="H73" s="93" t="s">
        <v>72</v>
      </c>
      <c r="I73" s="93" t="s">
        <v>77</v>
      </c>
      <c r="J73" s="93" t="s">
        <v>78</v>
      </c>
      <c r="K73" s="93" t="s">
        <v>895</v>
      </c>
      <c r="L73" s="93" t="s">
        <v>160</v>
      </c>
      <c r="M73" s="93" t="s">
        <v>83</v>
      </c>
      <c r="N73" s="93" t="s">
        <v>97</v>
      </c>
      <c r="O73" s="94">
        <v>46245.0</v>
      </c>
      <c r="P73" s="93" t="s">
        <v>785</v>
      </c>
      <c r="Q73" s="94">
        <v>46237.0</v>
      </c>
      <c r="R73" s="93" t="s">
        <v>896</v>
      </c>
      <c r="S73" s="95"/>
      <c r="T73" s="95"/>
      <c r="U73" s="95"/>
      <c r="V73" s="95"/>
      <c r="W73" s="95"/>
    </row>
    <row r="74" ht="14.25" customHeight="1">
      <c r="A74" s="96" t="s">
        <v>897</v>
      </c>
      <c r="B74" s="97">
        <v>46245.0</v>
      </c>
      <c r="C74" s="96" t="s">
        <v>898</v>
      </c>
      <c r="D74" s="96" t="s">
        <v>899</v>
      </c>
      <c r="E74" s="96" t="s">
        <v>900</v>
      </c>
      <c r="F74" s="96" t="s">
        <v>901</v>
      </c>
      <c r="G74" s="96" t="s">
        <v>72</v>
      </c>
      <c r="H74" s="96" t="s">
        <v>72</v>
      </c>
      <c r="I74" s="96" t="s">
        <v>77</v>
      </c>
      <c r="J74" s="96" t="s">
        <v>78</v>
      </c>
      <c r="K74" s="96" t="s">
        <v>902</v>
      </c>
      <c r="L74" s="96" t="s">
        <v>160</v>
      </c>
      <c r="M74" s="96" t="s">
        <v>83</v>
      </c>
      <c r="N74" s="96" t="s">
        <v>97</v>
      </c>
      <c r="O74" s="97">
        <v>46245.0</v>
      </c>
      <c r="P74" s="96" t="s">
        <v>785</v>
      </c>
      <c r="Q74" s="97">
        <v>46237.0</v>
      </c>
      <c r="R74" s="96" t="s">
        <v>903</v>
      </c>
      <c r="S74" s="95"/>
      <c r="T74" s="95"/>
      <c r="U74" s="95"/>
      <c r="V74" s="95"/>
      <c r="W74" s="95"/>
    </row>
    <row r="75" ht="14.25" customHeight="1">
      <c r="A75" s="93" t="s">
        <v>904</v>
      </c>
      <c r="B75" s="94">
        <v>46245.0</v>
      </c>
      <c r="C75" s="93" t="s">
        <v>905</v>
      </c>
      <c r="D75" s="93" t="s">
        <v>906</v>
      </c>
      <c r="E75" s="93" t="s">
        <v>907</v>
      </c>
      <c r="F75" s="93" t="s">
        <v>908</v>
      </c>
      <c r="G75" s="93" t="s">
        <v>70</v>
      </c>
      <c r="H75" s="93" t="s">
        <v>72</v>
      </c>
      <c r="I75" s="93" t="s">
        <v>77</v>
      </c>
      <c r="J75" s="93" t="s">
        <v>78</v>
      </c>
      <c r="K75" s="93" t="s">
        <v>902</v>
      </c>
      <c r="L75" s="93" t="s">
        <v>160</v>
      </c>
      <c r="M75" s="93" t="s">
        <v>83</v>
      </c>
      <c r="N75" s="93" t="s">
        <v>97</v>
      </c>
      <c r="O75" s="94">
        <v>46245.0</v>
      </c>
      <c r="P75" s="93" t="s">
        <v>785</v>
      </c>
      <c r="Q75" s="94">
        <v>46242.0</v>
      </c>
      <c r="R75" s="93" t="s">
        <v>909</v>
      </c>
      <c r="S75" s="95"/>
      <c r="T75" s="95"/>
      <c r="U75" s="95"/>
      <c r="V75" s="95"/>
      <c r="W75" s="95"/>
    </row>
    <row r="76" ht="14.25" customHeight="1">
      <c r="A76" s="96" t="s">
        <v>910</v>
      </c>
      <c r="B76" s="97">
        <v>46245.0</v>
      </c>
      <c r="C76" s="96" t="s">
        <v>911</v>
      </c>
      <c r="D76" s="96" t="s">
        <v>912</v>
      </c>
      <c r="E76" s="96" t="s">
        <v>913</v>
      </c>
      <c r="F76" s="96" t="s">
        <v>914</v>
      </c>
      <c r="G76" s="96" t="s">
        <v>70</v>
      </c>
      <c r="H76" s="96" t="s">
        <v>72</v>
      </c>
      <c r="I76" s="96" t="s">
        <v>77</v>
      </c>
      <c r="J76" s="96" t="s">
        <v>78</v>
      </c>
      <c r="K76" s="96" t="s">
        <v>915</v>
      </c>
      <c r="L76" s="96" t="s">
        <v>205</v>
      </c>
      <c r="M76" s="96" t="s">
        <v>160</v>
      </c>
      <c r="N76" s="96" t="s">
        <v>97</v>
      </c>
      <c r="O76" s="97">
        <v>46245.0</v>
      </c>
      <c r="P76" s="96" t="s">
        <v>785</v>
      </c>
      <c r="Q76" s="97">
        <v>46242.0</v>
      </c>
      <c r="R76" s="96" t="s">
        <v>916</v>
      </c>
      <c r="S76" s="95"/>
      <c r="T76" s="95"/>
      <c r="U76" s="95"/>
      <c r="V76" s="95"/>
      <c r="W76" s="95"/>
    </row>
    <row r="77" ht="14.25" customHeight="1">
      <c r="A77" s="93" t="s">
        <v>917</v>
      </c>
      <c r="B77" s="94">
        <v>46245.0</v>
      </c>
      <c r="C77" s="93" t="s">
        <v>918</v>
      </c>
      <c r="D77" s="93" t="s">
        <v>919</v>
      </c>
      <c r="E77" s="93" t="s">
        <v>920</v>
      </c>
      <c r="F77" s="93" t="s">
        <v>921</v>
      </c>
      <c r="G77" s="93" t="s">
        <v>70</v>
      </c>
      <c r="H77" s="93" t="s">
        <v>72</v>
      </c>
      <c r="I77" s="93" t="s">
        <v>77</v>
      </c>
      <c r="J77" s="93" t="s">
        <v>78</v>
      </c>
      <c r="K77" s="93" t="s">
        <v>915</v>
      </c>
      <c r="L77" s="93" t="s">
        <v>205</v>
      </c>
      <c r="M77" s="93" t="s">
        <v>160</v>
      </c>
      <c r="N77" s="93" t="s">
        <v>97</v>
      </c>
      <c r="O77" s="94">
        <v>46245.0</v>
      </c>
      <c r="P77" s="93" t="s">
        <v>785</v>
      </c>
      <c r="Q77" s="94">
        <v>46244.0</v>
      </c>
      <c r="R77" s="93" t="s">
        <v>922</v>
      </c>
      <c r="S77" s="95"/>
      <c r="T77" s="95"/>
      <c r="U77" s="95"/>
      <c r="V77" s="95"/>
      <c r="W77" s="95"/>
    </row>
    <row r="78" ht="14.25" customHeight="1">
      <c r="A78" s="96" t="s">
        <v>923</v>
      </c>
      <c r="B78" s="97">
        <v>46245.0</v>
      </c>
      <c r="C78" s="96" t="s">
        <v>924</v>
      </c>
      <c r="D78" s="96" t="s">
        <v>925</v>
      </c>
      <c r="E78" s="96" t="s">
        <v>926</v>
      </c>
      <c r="F78" s="96" t="s">
        <v>927</v>
      </c>
      <c r="G78" s="96" t="s">
        <v>70</v>
      </c>
      <c r="H78" s="96" t="s">
        <v>72</v>
      </c>
      <c r="I78" s="96" t="s">
        <v>77</v>
      </c>
      <c r="J78" s="96" t="s">
        <v>78</v>
      </c>
      <c r="K78" s="96" t="s">
        <v>915</v>
      </c>
      <c r="L78" s="96" t="s">
        <v>205</v>
      </c>
      <c r="M78" s="96" t="s">
        <v>160</v>
      </c>
      <c r="N78" s="96" t="s">
        <v>97</v>
      </c>
      <c r="O78" s="97">
        <v>46245.0</v>
      </c>
      <c r="P78" s="96" t="s">
        <v>785</v>
      </c>
      <c r="Q78" s="97">
        <v>46244.0</v>
      </c>
      <c r="R78" s="96" t="s">
        <v>928</v>
      </c>
      <c r="S78" s="95"/>
      <c r="T78" s="95"/>
      <c r="U78" s="95"/>
      <c r="V78" s="95"/>
      <c r="W78" s="95"/>
    </row>
    <row r="79" ht="14.25" customHeight="1">
      <c r="G79" s="81"/>
      <c r="H79" s="81"/>
      <c r="I79" s="81"/>
      <c r="N79" s="81"/>
    </row>
    <row r="80" ht="14.25" customHeight="1">
      <c r="G80" s="81"/>
      <c r="H80" s="81"/>
      <c r="I80" s="81"/>
      <c r="N80" s="81"/>
    </row>
    <row r="81" ht="14.25" customHeight="1">
      <c r="G81" s="81"/>
      <c r="H81" s="81"/>
      <c r="I81" s="81"/>
      <c r="N81" s="81"/>
      <c r="R81" s="81" t="str">
        <f>R82</f>
        <v/>
      </c>
    </row>
    <row r="82" ht="14.25" customHeight="1">
      <c r="G82" s="81"/>
      <c r="H82" s="81"/>
      <c r="I82" s="81"/>
      <c r="N82" s="81"/>
    </row>
    <row r="83" ht="14.25" customHeight="1">
      <c r="G83" s="81"/>
      <c r="H83" s="81"/>
      <c r="I83" s="81"/>
      <c r="N83" s="81"/>
    </row>
    <row r="84" ht="14.25" customHeight="1">
      <c r="G84" s="81"/>
      <c r="H84" s="81"/>
      <c r="I84" s="81"/>
      <c r="N84" s="81"/>
    </row>
    <row r="85" ht="14.25" customHeight="1">
      <c r="G85" s="81"/>
      <c r="H85" s="81"/>
      <c r="I85" s="81"/>
      <c r="N85" s="81"/>
    </row>
    <row r="86" ht="14.25" customHeight="1">
      <c r="G86" s="81"/>
      <c r="H86" s="81"/>
      <c r="I86" s="81"/>
      <c r="N86" s="81"/>
    </row>
    <row r="87" ht="14.25" customHeight="1">
      <c r="G87" s="81"/>
      <c r="H87" s="81"/>
      <c r="I87" s="81"/>
      <c r="N87" s="81"/>
    </row>
    <row r="88" ht="14.25" customHeight="1">
      <c r="G88" s="81"/>
      <c r="H88" s="81"/>
      <c r="I88" s="81"/>
      <c r="N88" s="81"/>
    </row>
    <row r="89" ht="14.25" customHeight="1">
      <c r="G89" s="81"/>
      <c r="H89" s="81"/>
      <c r="I89" s="81"/>
      <c r="N89" s="81"/>
    </row>
    <row r="90" ht="14.25" customHeight="1">
      <c r="G90" s="81"/>
      <c r="H90" s="81"/>
      <c r="I90" s="81"/>
      <c r="N90" s="81"/>
    </row>
    <row r="91" ht="14.25" customHeight="1">
      <c r="G91" s="81"/>
      <c r="H91" s="81"/>
      <c r="I91" s="81"/>
      <c r="N91" s="81"/>
    </row>
    <row r="92" ht="14.25" customHeight="1">
      <c r="G92" s="81"/>
      <c r="H92" s="81"/>
      <c r="I92" s="81"/>
      <c r="N92" s="81"/>
    </row>
    <row r="93" ht="14.25" customHeight="1">
      <c r="G93" s="81"/>
      <c r="H93" s="81"/>
      <c r="I93" s="81"/>
      <c r="N93" s="81"/>
    </row>
    <row r="94" ht="14.25" customHeight="1">
      <c r="G94" s="81"/>
      <c r="H94" s="81"/>
      <c r="I94" s="81"/>
      <c r="N94" s="81"/>
    </row>
    <row r="95" ht="14.25" customHeight="1">
      <c r="G95" s="81"/>
      <c r="H95" s="81"/>
      <c r="I95" s="81"/>
      <c r="N95" s="81"/>
    </row>
    <row r="96" ht="14.25" customHeight="1">
      <c r="G96" s="81"/>
      <c r="H96" s="81"/>
      <c r="I96" s="81"/>
      <c r="N96" s="81"/>
    </row>
    <row r="97" ht="14.25" customHeight="1">
      <c r="G97" s="81"/>
      <c r="H97" s="81"/>
      <c r="I97" s="81"/>
      <c r="N97" s="81"/>
    </row>
    <row r="98" ht="14.25" customHeight="1">
      <c r="G98" s="81"/>
      <c r="H98" s="81"/>
      <c r="I98" s="81"/>
      <c r="N98" s="81"/>
    </row>
    <row r="99" ht="14.25" customHeight="1">
      <c r="G99" s="81"/>
      <c r="H99" s="81"/>
      <c r="I99" s="81"/>
      <c r="N99" s="81"/>
    </row>
    <row r="100" ht="14.25" customHeight="1">
      <c r="G100" s="81"/>
      <c r="H100" s="81"/>
      <c r="I100" s="81"/>
      <c r="N100" s="81"/>
    </row>
    <row r="101" ht="14.25" customHeight="1">
      <c r="G101" s="81"/>
      <c r="H101" s="81"/>
      <c r="I101" s="81"/>
      <c r="N101" s="81"/>
    </row>
    <row r="102" ht="14.25" customHeight="1">
      <c r="G102" s="81"/>
      <c r="H102" s="81"/>
      <c r="I102" s="81"/>
      <c r="N102" s="81"/>
    </row>
    <row r="103" ht="14.25" customHeight="1">
      <c r="G103" s="81"/>
      <c r="H103" s="81"/>
      <c r="I103" s="81"/>
      <c r="N103" s="81"/>
    </row>
    <row r="104" ht="14.25" customHeight="1">
      <c r="G104" s="81"/>
      <c r="H104" s="81"/>
      <c r="I104" s="81"/>
      <c r="N104" s="81"/>
    </row>
    <row r="105" ht="14.25" customHeight="1">
      <c r="G105" s="81"/>
      <c r="H105" s="81"/>
      <c r="I105" s="81"/>
      <c r="N105" s="81"/>
    </row>
    <row r="106" ht="14.25" customHeight="1">
      <c r="G106" s="81"/>
      <c r="H106" s="81"/>
      <c r="I106" s="81"/>
      <c r="N106" s="81"/>
    </row>
    <row r="107" ht="14.25" customHeight="1">
      <c r="G107" s="81"/>
      <c r="H107" s="81"/>
      <c r="I107" s="81"/>
      <c r="N107" s="81"/>
    </row>
    <row r="108" ht="14.25" customHeight="1">
      <c r="G108" s="81"/>
      <c r="H108" s="81"/>
      <c r="I108" s="81"/>
      <c r="N108" s="81"/>
    </row>
    <row r="109" ht="14.25" customHeight="1">
      <c r="G109" s="81"/>
      <c r="H109" s="81"/>
      <c r="I109" s="81"/>
      <c r="N109" s="81"/>
    </row>
    <row r="110" ht="14.25" customHeight="1">
      <c r="G110" s="81"/>
      <c r="H110" s="81"/>
      <c r="I110" s="81"/>
      <c r="N110" s="81"/>
    </row>
    <row r="111" ht="14.25" customHeight="1">
      <c r="G111" s="81"/>
      <c r="H111" s="81"/>
      <c r="I111" s="81"/>
      <c r="N111" s="81"/>
    </row>
    <row r="112" ht="14.25" customHeight="1">
      <c r="G112" s="81"/>
      <c r="H112" s="81"/>
      <c r="I112" s="81"/>
      <c r="N112" s="81"/>
    </row>
    <row r="113" ht="14.25" customHeight="1">
      <c r="G113" s="81"/>
      <c r="H113" s="81"/>
      <c r="I113" s="81"/>
      <c r="N113" s="81"/>
    </row>
    <row r="114" ht="14.25" customHeight="1">
      <c r="G114" s="81"/>
      <c r="H114" s="81"/>
      <c r="I114" s="81"/>
      <c r="N114" s="81"/>
    </row>
    <row r="115" ht="14.25" customHeight="1">
      <c r="G115" s="81"/>
      <c r="H115" s="81"/>
      <c r="I115" s="81"/>
      <c r="N115" s="81"/>
    </row>
    <row r="116" ht="14.25" customHeight="1">
      <c r="G116" s="81"/>
      <c r="H116" s="81"/>
      <c r="I116" s="81"/>
      <c r="N116" s="81"/>
    </row>
    <row r="117" ht="14.25" customHeight="1">
      <c r="G117" s="81"/>
      <c r="H117" s="81"/>
      <c r="I117" s="81"/>
      <c r="N117" s="81"/>
    </row>
    <row r="118" ht="14.25" customHeight="1">
      <c r="G118" s="81"/>
      <c r="H118" s="81"/>
      <c r="I118" s="81"/>
      <c r="N118" s="81"/>
    </row>
    <row r="119" ht="14.25" customHeight="1">
      <c r="G119" s="81"/>
      <c r="H119" s="81"/>
      <c r="I119" s="81"/>
      <c r="N119" s="81"/>
    </row>
    <row r="120" ht="14.25" customHeight="1">
      <c r="G120" s="81"/>
      <c r="H120" s="81"/>
      <c r="I120" s="81"/>
      <c r="N120" s="81"/>
    </row>
    <row r="121" ht="14.25" customHeight="1">
      <c r="G121" s="81"/>
      <c r="H121" s="81"/>
      <c r="I121" s="81"/>
      <c r="N121" s="81"/>
    </row>
    <row r="122" ht="14.25" customHeight="1">
      <c r="G122" s="81"/>
      <c r="H122" s="81"/>
      <c r="I122" s="81"/>
      <c r="N122" s="81"/>
    </row>
    <row r="123" ht="14.25" customHeight="1">
      <c r="G123" s="81"/>
      <c r="H123" s="81"/>
      <c r="I123" s="81"/>
      <c r="N123" s="81"/>
    </row>
    <row r="124" ht="14.25" customHeight="1">
      <c r="G124" s="81"/>
      <c r="H124" s="81"/>
      <c r="I124" s="81"/>
      <c r="N124" s="81"/>
    </row>
    <row r="125" ht="14.25" customHeight="1">
      <c r="G125" s="81"/>
      <c r="H125" s="81"/>
      <c r="I125" s="81"/>
      <c r="N125" s="81"/>
    </row>
    <row r="126" ht="14.25" customHeight="1">
      <c r="G126" s="81"/>
      <c r="H126" s="81"/>
      <c r="I126" s="81"/>
      <c r="N126" s="81"/>
    </row>
    <row r="127" ht="14.25" customHeight="1">
      <c r="G127" s="81"/>
      <c r="H127" s="81"/>
      <c r="I127" s="81"/>
      <c r="N127" s="81"/>
    </row>
    <row r="128" ht="14.25" customHeight="1">
      <c r="G128" s="81"/>
      <c r="H128" s="81"/>
      <c r="I128" s="81"/>
      <c r="N128" s="81"/>
    </row>
    <row r="129" ht="14.25" customHeight="1">
      <c r="G129" s="81"/>
      <c r="H129" s="81"/>
      <c r="I129" s="81"/>
      <c r="N129" s="81"/>
    </row>
    <row r="130" ht="14.25" customHeight="1">
      <c r="G130" s="81"/>
      <c r="H130" s="81"/>
      <c r="I130" s="81"/>
      <c r="N130" s="81"/>
    </row>
    <row r="131" ht="14.25" customHeight="1">
      <c r="G131" s="81"/>
      <c r="H131" s="81"/>
      <c r="I131" s="81"/>
      <c r="N131" s="81"/>
    </row>
    <row r="132" ht="14.25" customHeight="1">
      <c r="G132" s="81"/>
      <c r="H132" s="81"/>
      <c r="I132" s="81"/>
      <c r="N132" s="81"/>
    </row>
    <row r="133" ht="14.25" customHeight="1">
      <c r="G133" s="81"/>
      <c r="H133" s="81"/>
      <c r="I133" s="81"/>
      <c r="N133" s="81"/>
    </row>
    <row r="134" ht="14.25" customHeight="1">
      <c r="G134" s="81"/>
      <c r="H134" s="81"/>
      <c r="I134" s="81"/>
      <c r="N134" s="81"/>
    </row>
    <row r="135" ht="14.25" customHeight="1">
      <c r="G135" s="81"/>
      <c r="H135" s="81"/>
      <c r="I135" s="81"/>
      <c r="N135" s="81"/>
    </row>
    <row r="136" ht="14.25" customHeight="1">
      <c r="G136" s="81"/>
      <c r="H136" s="81"/>
      <c r="I136" s="81"/>
      <c r="N136" s="81"/>
    </row>
    <row r="137" ht="14.25" customHeight="1">
      <c r="G137" s="81"/>
      <c r="H137" s="81"/>
      <c r="I137" s="81"/>
      <c r="N137" s="81"/>
    </row>
    <row r="138" ht="14.25" customHeight="1">
      <c r="G138" s="81"/>
      <c r="H138" s="81"/>
      <c r="I138" s="81"/>
      <c r="N138" s="81"/>
    </row>
    <row r="139" ht="14.25" customHeight="1">
      <c r="G139" s="81"/>
      <c r="H139" s="81"/>
      <c r="I139" s="81"/>
      <c r="N139" s="81"/>
    </row>
    <row r="140" ht="14.25" customHeight="1">
      <c r="G140" s="81"/>
      <c r="H140" s="81"/>
      <c r="I140" s="81"/>
      <c r="N140" s="81"/>
    </row>
    <row r="141" ht="14.25" customHeight="1">
      <c r="G141" s="81"/>
      <c r="H141" s="81"/>
      <c r="I141" s="81"/>
      <c r="N141" s="81"/>
    </row>
    <row r="142" ht="14.25" customHeight="1">
      <c r="G142" s="81"/>
      <c r="H142" s="81"/>
      <c r="I142" s="81"/>
      <c r="N142" s="81"/>
    </row>
    <row r="143" ht="14.25" customHeight="1">
      <c r="G143" s="81"/>
      <c r="H143" s="81"/>
      <c r="I143" s="81"/>
      <c r="N143" s="81"/>
    </row>
    <row r="144" ht="14.25" customHeight="1">
      <c r="G144" s="81"/>
      <c r="H144" s="81"/>
      <c r="I144" s="81"/>
      <c r="N144" s="81"/>
    </row>
    <row r="145" ht="14.25" customHeight="1">
      <c r="G145" s="81"/>
      <c r="H145" s="81"/>
      <c r="I145" s="81"/>
      <c r="N145" s="81"/>
    </row>
    <row r="146" ht="14.25" customHeight="1">
      <c r="G146" s="81"/>
      <c r="H146" s="81"/>
      <c r="I146" s="81"/>
      <c r="N146" s="81"/>
    </row>
    <row r="147" ht="14.25" customHeight="1">
      <c r="G147" s="81"/>
      <c r="H147" s="81"/>
      <c r="I147" s="81"/>
      <c r="N147" s="81"/>
    </row>
    <row r="148" ht="14.25" customHeight="1">
      <c r="G148" s="81"/>
      <c r="H148" s="81"/>
      <c r="I148" s="81"/>
      <c r="N148" s="81"/>
    </row>
    <row r="149" ht="14.25" customHeight="1">
      <c r="G149" s="81"/>
      <c r="H149" s="81"/>
      <c r="I149" s="81"/>
      <c r="N149" s="81"/>
    </row>
    <row r="150" ht="14.25" customHeight="1">
      <c r="G150" s="81"/>
      <c r="H150" s="81"/>
      <c r="I150" s="81"/>
      <c r="N150" s="81"/>
    </row>
    <row r="151" ht="14.25" customHeight="1">
      <c r="G151" s="81"/>
      <c r="H151" s="81"/>
      <c r="I151" s="81"/>
      <c r="N151" s="81"/>
    </row>
    <row r="152" ht="14.25" customHeight="1">
      <c r="G152" s="81"/>
      <c r="H152" s="81"/>
      <c r="I152" s="81"/>
      <c r="N152" s="81"/>
    </row>
    <row r="153" ht="14.25" customHeight="1">
      <c r="G153" s="81"/>
      <c r="H153" s="81"/>
      <c r="I153" s="81"/>
      <c r="N153" s="81"/>
    </row>
    <row r="154" ht="14.25" customHeight="1">
      <c r="G154" s="81"/>
      <c r="H154" s="81"/>
      <c r="I154" s="81"/>
      <c r="N154" s="81"/>
    </row>
    <row r="155" ht="14.25" customHeight="1">
      <c r="G155" s="81"/>
      <c r="H155" s="81"/>
      <c r="I155" s="81"/>
      <c r="N155" s="81"/>
    </row>
    <row r="156" ht="14.25" customHeight="1">
      <c r="G156" s="81"/>
      <c r="H156" s="81"/>
      <c r="I156" s="81"/>
      <c r="N156" s="81"/>
    </row>
    <row r="157" ht="14.25" customHeight="1">
      <c r="G157" s="81"/>
      <c r="H157" s="81"/>
      <c r="I157" s="81"/>
      <c r="N157" s="81"/>
    </row>
    <row r="158" ht="14.25" customHeight="1">
      <c r="G158" s="81"/>
      <c r="H158" s="81"/>
      <c r="I158" s="81"/>
      <c r="N158" s="81"/>
    </row>
    <row r="159" ht="14.25" customHeight="1">
      <c r="G159" s="81"/>
      <c r="H159" s="81"/>
      <c r="I159" s="81"/>
      <c r="N159" s="81"/>
    </row>
    <row r="160" ht="14.25" customHeight="1">
      <c r="G160" s="81"/>
      <c r="H160" s="81"/>
      <c r="I160" s="81"/>
      <c r="N160" s="81"/>
    </row>
    <row r="161" ht="14.25" customHeight="1">
      <c r="G161" s="81"/>
      <c r="H161" s="81"/>
      <c r="I161" s="81"/>
      <c r="N161" s="81"/>
    </row>
    <row r="162" ht="14.25" customHeight="1">
      <c r="G162" s="81"/>
      <c r="H162" s="81"/>
      <c r="I162" s="81"/>
      <c r="N162" s="81"/>
    </row>
    <row r="163" ht="14.25" customHeight="1">
      <c r="G163" s="81"/>
      <c r="H163" s="81"/>
      <c r="I163" s="81"/>
      <c r="N163" s="81"/>
    </row>
    <row r="164" ht="14.25" customHeight="1">
      <c r="G164" s="81"/>
      <c r="H164" s="81"/>
      <c r="I164" s="81"/>
      <c r="N164" s="81"/>
    </row>
    <row r="165" ht="14.25" customHeight="1">
      <c r="G165" s="81"/>
      <c r="H165" s="81"/>
      <c r="I165" s="81"/>
      <c r="N165" s="81"/>
    </row>
    <row r="166" ht="14.25" customHeight="1">
      <c r="G166" s="81"/>
      <c r="H166" s="81"/>
      <c r="I166" s="81"/>
      <c r="N166" s="81"/>
    </row>
    <row r="167" ht="14.25" customHeight="1">
      <c r="G167" s="81"/>
      <c r="H167" s="81"/>
      <c r="I167" s="81"/>
      <c r="N167" s="81"/>
    </row>
    <row r="168" ht="14.25" customHeight="1">
      <c r="G168" s="81"/>
      <c r="H168" s="81"/>
      <c r="I168" s="81"/>
      <c r="N168" s="81"/>
    </row>
    <row r="169" ht="14.25" customHeight="1">
      <c r="G169" s="81"/>
      <c r="H169" s="81"/>
      <c r="I169" s="81"/>
      <c r="N169" s="81"/>
    </row>
    <row r="170" ht="14.25" customHeight="1">
      <c r="G170" s="81"/>
      <c r="H170" s="81"/>
      <c r="I170" s="81"/>
      <c r="N170" s="81"/>
    </row>
    <row r="171" ht="14.25" customHeight="1">
      <c r="G171" s="81"/>
      <c r="H171" s="81"/>
      <c r="I171" s="81"/>
      <c r="N171" s="81"/>
    </row>
    <row r="172" ht="14.25" customHeight="1">
      <c r="G172" s="81"/>
      <c r="H172" s="81"/>
      <c r="I172" s="81"/>
      <c r="N172" s="81"/>
    </row>
    <row r="173" ht="14.25" customHeight="1">
      <c r="G173" s="81"/>
      <c r="H173" s="81"/>
      <c r="I173" s="81"/>
      <c r="N173" s="81"/>
    </row>
    <row r="174" ht="14.25" customHeight="1">
      <c r="G174" s="81"/>
      <c r="H174" s="81"/>
      <c r="I174" s="81"/>
      <c r="N174" s="81"/>
    </row>
    <row r="175" ht="14.25" customHeight="1">
      <c r="G175" s="81"/>
      <c r="H175" s="81"/>
      <c r="I175" s="81"/>
      <c r="N175" s="81"/>
    </row>
    <row r="176" ht="14.25" customHeight="1">
      <c r="G176" s="81"/>
      <c r="H176" s="81"/>
      <c r="I176" s="81"/>
      <c r="N176" s="81"/>
    </row>
    <row r="177" ht="14.25" customHeight="1">
      <c r="G177" s="81"/>
      <c r="H177" s="81"/>
      <c r="I177" s="81"/>
      <c r="N177" s="81"/>
    </row>
    <row r="178" ht="14.25" customHeight="1">
      <c r="G178" s="81"/>
      <c r="H178" s="81"/>
      <c r="I178" s="81"/>
      <c r="N178" s="81"/>
    </row>
    <row r="179" ht="14.25" customHeight="1">
      <c r="G179" s="81"/>
      <c r="H179" s="81"/>
      <c r="I179" s="81"/>
      <c r="N179" s="81"/>
    </row>
    <row r="180" ht="14.25" customHeight="1">
      <c r="G180" s="81"/>
      <c r="H180" s="81"/>
      <c r="I180" s="81"/>
      <c r="N180" s="81"/>
    </row>
    <row r="181" ht="14.25" customHeight="1">
      <c r="G181" s="81"/>
      <c r="H181" s="81"/>
      <c r="I181" s="81"/>
      <c r="N181" s="81"/>
    </row>
    <row r="182" ht="14.25" customHeight="1">
      <c r="G182" s="81"/>
      <c r="H182" s="81"/>
      <c r="I182" s="81"/>
      <c r="N182" s="81"/>
    </row>
    <row r="183" ht="14.25" customHeight="1">
      <c r="G183" s="81"/>
      <c r="H183" s="81"/>
      <c r="I183" s="81"/>
      <c r="N183" s="81"/>
    </row>
    <row r="184" ht="14.25" customHeight="1">
      <c r="G184" s="81"/>
      <c r="H184" s="81"/>
      <c r="I184" s="81"/>
      <c r="N184" s="81"/>
    </row>
    <row r="185" ht="14.25" customHeight="1">
      <c r="G185" s="81"/>
      <c r="H185" s="81"/>
      <c r="I185" s="81"/>
      <c r="N185" s="81"/>
    </row>
    <row r="186" ht="14.25" customHeight="1">
      <c r="G186" s="81"/>
      <c r="H186" s="81"/>
      <c r="I186" s="81"/>
      <c r="N186" s="81"/>
    </row>
    <row r="187" ht="14.25" customHeight="1">
      <c r="G187" s="81"/>
      <c r="H187" s="81"/>
      <c r="I187" s="81"/>
      <c r="N187" s="81"/>
    </row>
    <row r="188" ht="14.25" customHeight="1">
      <c r="G188" s="81"/>
      <c r="H188" s="81"/>
      <c r="I188" s="81"/>
      <c r="N188" s="81"/>
    </row>
    <row r="189" ht="14.25" customHeight="1">
      <c r="G189" s="81"/>
      <c r="H189" s="81"/>
      <c r="I189" s="81"/>
      <c r="N189" s="81"/>
    </row>
    <row r="190" ht="14.25" customHeight="1">
      <c r="G190" s="81"/>
      <c r="H190" s="81"/>
      <c r="I190" s="81"/>
      <c r="N190" s="81"/>
    </row>
    <row r="191" ht="14.25" customHeight="1">
      <c r="G191" s="81"/>
      <c r="H191" s="81"/>
      <c r="I191" s="81"/>
      <c r="N191" s="81"/>
    </row>
    <row r="192" ht="14.25" customHeight="1">
      <c r="G192" s="81"/>
      <c r="H192" s="81"/>
      <c r="I192" s="81"/>
      <c r="N192" s="81"/>
    </row>
    <row r="193" ht="14.25" customHeight="1">
      <c r="G193" s="81"/>
      <c r="H193" s="81"/>
      <c r="I193" s="81"/>
      <c r="N193" s="81"/>
    </row>
    <row r="194" ht="14.25" customHeight="1">
      <c r="G194" s="81"/>
      <c r="H194" s="81"/>
      <c r="I194" s="81"/>
      <c r="N194" s="81"/>
    </row>
    <row r="195" ht="14.25" customHeight="1">
      <c r="G195" s="81"/>
      <c r="H195" s="81"/>
      <c r="I195" s="81"/>
      <c r="N195" s="81"/>
    </row>
    <row r="196" ht="14.25" customHeight="1">
      <c r="G196" s="81"/>
      <c r="H196" s="81"/>
      <c r="I196" s="81"/>
      <c r="N196" s="81"/>
    </row>
    <row r="197" ht="14.25" customHeight="1">
      <c r="G197" s="81"/>
      <c r="H197" s="81"/>
      <c r="I197" s="81"/>
      <c r="N197" s="81"/>
    </row>
    <row r="198" ht="14.25" customHeight="1">
      <c r="G198" s="81"/>
      <c r="H198" s="81"/>
      <c r="I198" s="81"/>
      <c r="N198" s="81"/>
    </row>
    <row r="199" ht="14.25" customHeight="1">
      <c r="G199" s="81"/>
      <c r="H199" s="81"/>
      <c r="I199" s="81"/>
      <c r="N199" s="81"/>
    </row>
    <row r="200" ht="14.25" customHeight="1">
      <c r="G200" s="81"/>
      <c r="H200" s="81"/>
      <c r="I200" s="81"/>
      <c r="N200" s="81"/>
    </row>
    <row r="201" ht="14.25" customHeight="1">
      <c r="G201" s="81"/>
      <c r="H201" s="81"/>
      <c r="I201" s="81"/>
      <c r="N201" s="81"/>
    </row>
    <row r="202" ht="14.25" customHeight="1">
      <c r="G202" s="81"/>
      <c r="H202" s="81"/>
      <c r="I202" s="81"/>
      <c r="N202" s="81"/>
    </row>
    <row r="203" ht="14.25" customHeight="1">
      <c r="G203" s="81"/>
      <c r="H203" s="81"/>
      <c r="I203" s="81"/>
      <c r="N203" s="81"/>
    </row>
    <row r="204" ht="14.25" customHeight="1">
      <c r="G204" s="81"/>
      <c r="H204" s="81"/>
      <c r="I204" s="81"/>
      <c r="N204" s="81"/>
    </row>
    <row r="205" ht="14.25" customHeight="1">
      <c r="G205" s="81"/>
      <c r="H205" s="81"/>
      <c r="I205" s="81"/>
      <c r="N205" s="81"/>
    </row>
    <row r="206" ht="14.25" customHeight="1">
      <c r="G206" s="81"/>
      <c r="H206" s="81"/>
      <c r="I206" s="81"/>
      <c r="N206" s="81"/>
    </row>
    <row r="207" ht="14.25" customHeight="1">
      <c r="G207" s="81"/>
      <c r="H207" s="81"/>
      <c r="I207" s="81"/>
      <c r="N207" s="81"/>
    </row>
    <row r="208" ht="14.25" customHeight="1">
      <c r="G208" s="81"/>
      <c r="H208" s="81"/>
      <c r="I208" s="81"/>
      <c r="N208" s="81"/>
    </row>
    <row r="209" ht="14.25" customHeight="1">
      <c r="G209" s="81"/>
      <c r="H209" s="81"/>
      <c r="I209" s="81"/>
      <c r="N209" s="81"/>
    </row>
    <row r="210" ht="14.25" customHeight="1">
      <c r="G210" s="81"/>
      <c r="H210" s="81"/>
      <c r="I210" s="81"/>
      <c r="N210" s="81"/>
    </row>
    <row r="211" ht="14.25" customHeight="1">
      <c r="G211" s="81"/>
      <c r="H211" s="81"/>
      <c r="I211" s="81"/>
      <c r="N211" s="81"/>
    </row>
    <row r="212" ht="14.25" customHeight="1">
      <c r="G212" s="81"/>
      <c r="H212" s="81"/>
      <c r="I212" s="81"/>
      <c r="N212" s="81"/>
    </row>
    <row r="213" ht="14.25" customHeight="1">
      <c r="G213" s="81"/>
      <c r="H213" s="81"/>
      <c r="I213" s="81"/>
      <c r="N213" s="81"/>
    </row>
    <row r="214" ht="14.25" customHeight="1">
      <c r="G214" s="81"/>
      <c r="H214" s="81"/>
      <c r="I214" s="81"/>
      <c r="N214" s="81"/>
    </row>
    <row r="215" ht="14.25" customHeight="1">
      <c r="G215" s="81"/>
      <c r="H215" s="81"/>
      <c r="I215" s="81"/>
      <c r="N215" s="81"/>
    </row>
    <row r="216" ht="14.25" customHeight="1">
      <c r="G216" s="81"/>
      <c r="H216" s="81"/>
      <c r="I216" s="81"/>
      <c r="N216" s="81"/>
    </row>
    <row r="217" ht="14.25" customHeight="1">
      <c r="G217" s="81"/>
      <c r="H217" s="81"/>
      <c r="I217" s="81"/>
      <c r="N217" s="81"/>
    </row>
    <row r="218" ht="14.25" customHeight="1">
      <c r="G218" s="81"/>
      <c r="H218" s="81"/>
      <c r="I218" s="81"/>
      <c r="N218" s="81"/>
    </row>
    <row r="219" ht="14.25" customHeight="1">
      <c r="G219" s="81"/>
      <c r="H219" s="81"/>
      <c r="I219" s="81"/>
      <c r="N219" s="81"/>
    </row>
    <row r="220" ht="14.25" customHeight="1">
      <c r="G220" s="81"/>
      <c r="H220" s="81"/>
      <c r="I220" s="81"/>
      <c r="N220" s="81"/>
    </row>
    <row r="221" ht="14.25" customHeight="1">
      <c r="G221" s="81"/>
      <c r="H221" s="81"/>
      <c r="I221" s="81"/>
      <c r="N221" s="81"/>
    </row>
    <row r="222" ht="14.25" customHeight="1">
      <c r="G222" s="81"/>
      <c r="H222" s="81"/>
      <c r="I222" s="81"/>
      <c r="N222" s="81"/>
    </row>
    <row r="223" ht="14.25" customHeight="1">
      <c r="G223" s="81"/>
      <c r="H223" s="81"/>
      <c r="I223" s="81"/>
      <c r="N223" s="81"/>
    </row>
    <row r="224" ht="14.25" customHeight="1">
      <c r="G224" s="81"/>
      <c r="H224" s="81"/>
      <c r="I224" s="81"/>
      <c r="N224" s="81"/>
    </row>
    <row r="225" ht="14.25" customHeight="1">
      <c r="G225" s="81"/>
      <c r="H225" s="81"/>
      <c r="I225" s="81"/>
      <c r="N225" s="81"/>
    </row>
    <row r="226" ht="14.25" customHeight="1">
      <c r="G226" s="81"/>
      <c r="H226" s="81"/>
      <c r="I226" s="81"/>
      <c r="N226" s="81"/>
    </row>
    <row r="227" ht="14.25" customHeight="1">
      <c r="G227" s="81"/>
      <c r="H227" s="81"/>
      <c r="I227" s="81"/>
      <c r="N227" s="81"/>
    </row>
    <row r="228" ht="14.25" customHeight="1">
      <c r="G228" s="81"/>
      <c r="H228" s="81"/>
      <c r="I228" s="81"/>
      <c r="N228" s="81"/>
    </row>
    <row r="229" ht="14.25" customHeight="1">
      <c r="G229" s="81"/>
      <c r="H229" s="81"/>
      <c r="I229" s="81"/>
      <c r="N229" s="81"/>
    </row>
    <row r="230" ht="14.25" customHeight="1">
      <c r="G230" s="81"/>
      <c r="H230" s="81"/>
      <c r="I230" s="81"/>
      <c r="N230" s="81"/>
    </row>
    <row r="231" ht="14.25" customHeight="1">
      <c r="G231" s="81"/>
      <c r="H231" s="81"/>
      <c r="I231" s="81"/>
      <c r="N231" s="81"/>
    </row>
    <row r="232" ht="14.25" customHeight="1">
      <c r="G232" s="81"/>
      <c r="H232" s="81"/>
      <c r="I232" s="81"/>
      <c r="N232" s="81"/>
    </row>
    <row r="233" ht="14.25" customHeight="1">
      <c r="G233" s="81"/>
      <c r="H233" s="81"/>
      <c r="I233" s="81"/>
      <c r="N233" s="81"/>
    </row>
    <row r="234" ht="14.25" customHeight="1">
      <c r="G234" s="81"/>
      <c r="H234" s="81"/>
      <c r="I234" s="81"/>
      <c r="N234" s="81"/>
    </row>
    <row r="235" ht="14.25" customHeight="1">
      <c r="G235" s="81"/>
      <c r="H235" s="81"/>
      <c r="I235" s="81"/>
      <c r="N235" s="81"/>
    </row>
    <row r="236" ht="14.25" customHeight="1">
      <c r="G236" s="81"/>
      <c r="H236" s="81"/>
      <c r="I236" s="81"/>
      <c r="N236" s="81"/>
    </row>
    <row r="237" ht="14.25" customHeight="1">
      <c r="G237" s="81"/>
      <c r="H237" s="81"/>
      <c r="I237" s="81"/>
      <c r="N237" s="81"/>
    </row>
    <row r="238" ht="14.25" customHeight="1">
      <c r="G238" s="81"/>
      <c r="H238" s="81"/>
      <c r="I238" s="81"/>
      <c r="N238" s="81"/>
    </row>
    <row r="239" ht="14.25" customHeight="1">
      <c r="G239" s="81"/>
      <c r="H239" s="81"/>
      <c r="I239" s="81"/>
      <c r="N239" s="81"/>
    </row>
    <row r="240" ht="14.25" customHeight="1">
      <c r="G240" s="81"/>
      <c r="H240" s="81"/>
      <c r="I240" s="81"/>
      <c r="N240" s="81"/>
    </row>
    <row r="241" ht="14.25" customHeight="1">
      <c r="G241" s="81"/>
      <c r="H241" s="81"/>
      <c r="I241" s="81"/>
      <c r="N241" s="81"/>
    </row>
    <row r="242" ht="14.25" customHeight="1">
      <c r="G242" s="81"/>
      <c r="H242" s="81"/>
      <c r="I242" s="81"/>
      <c r="N242" s="81"/>
    </row>
    <row r="243" ht="14.25" customHeight="1">
      <c r="G243" s="81"/>
      <c r="H243" s="81"/>
      <c r="I243" s="81"/>
      <c r="N243" s="81"/>
    </row>
    <row r="244" ht="14.25" customHeight="1">
      <c r="G244" s="81"/>
      <c r="H244" s="81"/>
      <c r="I244" s="81"/>
      <c r="N244" s="81"/>
    </row>
    <row r="245" ht="14.25" customHeight="1">
      <c r="G245" s="81"/>
      <c r="H245" s="81"/>
      <c r="I245" s="81"/>
      <c r="N245" s="81"/>
    </row>
    <row r="246" ht="14.25" customHeight="1">
      <c r="G246" s="81"/>
      <c r="H246" s="81"/>
      <c r="I246" s="81"/>
      <c r="N246" s="81"/>
    </row>
    <row r="247" ht="14.25" customHeight="1">
      <c r="G247" s="81"/>
      <c r="H247" s="81"/>
      <c r="I247" s="81"/>
      <c r="N247" s="81"/>
    </row>
    <row r="248" ht="14.25" customHeight="1">
      <c r="G248" s="81"/>
      <c r="H248" s="81"/>
      <c r="I248" s="81"/>
      <c r="N248" s="81"/>
    </row>
    <row r="249" ht="14.25" customHeight="1">
      <c r="G249" s="81"/>
      <c r="H249" s="81"/>
      <c r="I249" s="81"/>
      <c r="N249" s="81"/>
    </row>
    <row r="250" ht="14.25" customHeight="1">
      <c r="G250" s="81"/>
      <c r="H250" s="81"/>
      <c r="I250" s="81"/>
      <c r="N250" s="81"/>
    </row>
    <row r="251" ht="14.25" customHeight="1">
      <c r="G251" s="81"/>
      <c r="H251" s="81"/>
      <c r="I251" s="81"/>
      <c r="N251" s="81"/>
    </row>
    <row r="252" ht="14.25" customHeight="1">
      <c r="G252" s="81"/>
      <c r="H252" s="81"/>
      <c r="I252" s="81"/>
      <c r="N252" s="81"/>
    </row>
    <row r="253" ht="14.25" customHeight="1">
      <c r="G253" s="81"/>
      <c r="H253" s="81"/>
      <c r="I253" s="81"/>
      <c r="N253" s="81"/>
    </row>
    <row r="254" ht="14.25" customHeight="1">
      <c r="G254" s="81"/>
      <c r="H254" s="81"/>
      <c r="I254" s="81"/>
      <c r="N254" s="81"/>
    </row>
    <row r="255" ht="14.25" customHeight="1">
      <c r="G255" s="81"/>
      <c r="H255" s="81"/>
      <c r="I255" s="81"/>
      <c r="N255" s="81"/>
    </row>
    <row r="256" ht="14.25" customHeight="1">
      <c r="G256" s="81"/>
      <c r="H256" s="81"/>
      <c r="I256" s="81"/>
      <c r="N256" s="81"/>
    </row>
    <row r="257" ht="14.25" customHeight="1">
      <c r="G257" s="81"/>
      <c r="H257" s="81"/>
      <c r="I257" s="81"/>
      <c r="N257" s="81"/>
    </row>
    <row r="258" ht="14.25" customHeight="1">
      <c r="G258" s="81"/>
      <c r="H258" s="81"/>
      <c r="I258" s="81"/>
      <c r="N258" s="81"/>
    </row>
    <row r="259" ht="14.25" customHeight="1">
      <c r="G259" s="81"/>
      <c r="H259" s="81"/>
      <c r="I259" s="81"/>
      <c r="N259" s="81"/>
    </row>
    <row r="260" ht="14.25" customHeight="1">
      <c r="G260" s="81"/>
      <c r="H260" s="81"/>
      <c r="I260" s="81"/>
      <c r="N260" s="81"/>
    </row>
    <row r="261" ht="14.25" customHeight="1">
      <c r="G261" s="81"/>
      <c r="H261" s="81"/>
      <c r="I261" s="81"/>
      <c r="N261" s="81"/>
    </row>
    <row r="262" ht="14.25" customHeight="1">
      <c r="G262" s="81"/>
      <c r="H262" s="81"/>
      <c r="I262" s="81"/>
      <c r="N262" s="81"/>
    </row>
    <row r="263" ht="14.25" customHeight="1">
      <c r="G263" s="81"/>
      <c r="H263" s="81"/>
      <c r="I263" s="81"/>
      <c r="N263" s="81"/>
    </row>
    <row r="264" ht="14.25" customHeight="1">
      <c r="G264" s="81"/>
      <c r="H264" s="81"/>
      <c r="I264" s="81"/>
      <c r="N264" s="81"/>
    </row>
    <row r="265" ht="14.25" customHeight="1">
      <c r="G265" s="81"/>
      <c r="H265" s="81"/>
      <c r="I265" s="81"/>
      <c r="N265" s="81"/>
    </row>
    <row r="266" ht="14.25" customHeight="1">
      <c r="G266" s="81"/>
      <c r="H266" s="81"/>
      <c r="I266" s="81"/>
      <c r="N266" s="81"/>
    </row>
    <row r="267" ht="14.25" customHeight="1">
      <c r="G267" s="81"/>
      <c r="H267" s="81"/>
      <c r="I267" s="81"/>
      <c r="N267" s="81"/>
    </row>
    <row r="268" ht="14.25" customHeight="1">
      <c r="G268" s="81"/>
      <c r="H268" s="81"/>
      <c r="I268" s="81"/>
      <c r="N268" s="81"/>
    </row>
    <row r="269" ht="14.25" customHeight="1">
      <c r="G269" s="81"/>
      <c r="H269" s="81"/>
      <c r="I269" s="81"/>
      <c r="N269" s="81"/>
    </row>
    <row r="270" ht="14.25" customHeight="1">
      <c r="G270" s="81"/>
      <c r="H270" s="81"/>
      <c r="I270" s="81"/>
      <c r="N270" s="81"/>
    </row>
    <row r="271" ht="14.25" customHeight="1">
      <c r="G271" s="81"/>
      <c r="H271" s="81"/>
      <c r="I271" s="81"/>
      <c r="N271" s="81"/>
    </row>
    <row r="272" ht="14.25" customHeight="1">
      <c r="G272" s="81"/>
      <c r="H272" s="81"/>
      <c r="I272" s="81"/>
      <c r="N272" s="81"/>
    </row>
    <row r="273" ht="14.25" customHeight="1">
      <c r="G273" s="81"/>
      <c r="H273" s="81"/>
      <c r="I273" s="81"/>
      <c r="N273" s="81"/>
    </row>
    <row r="274" ht="14.25" customHeight="1">
      <c r="G274" s="81"/>
      <c r="H274" s="81"/>
      <c r="I274" s="81"/>
      <c r="N274" s="81"/>
    </row>
    <row r="275" ht="14.25" customHeight="1">
      <c r="G275" s="81"/>
      <c r="H275" s="81"/>
      <c r="I275" s="81"/>
      <c r="N275" s="81"/>
    </row>
    <row r="276" ht="14.25" customHeight="1">
      <c r="G276" s="81"/>
      <c r="H276" s="81"/>
      <c r="I276" s="81"/>
      <c r="N276" s="81"/>
    </row>
    <row r="277" ht="14.25" customHeight="1">
      <c r="G277" s="81"/>
      <c r="H277" s="81"/>
      <c r="I277" s="81"/>
      <c r="N277" s="81"/>
    </row>
    <row r="278" ht="14.25" customHeight="1">
      <c r="G278" s="81"/>
      <c r="H278" s="81"/>
      <c r="I278" s="81"/>
      <c r="N278" s="81"/>
    </row>
    <row r="279" ht="14.25" customHeight="1">
      <c r="G279" s="81"/>
      <c r="H279" s="81"/>
      <c r="I279" s="81"/>
      <c r="N279" s="81"/>
    </row>
    <row r="280" ht="14.25" customHeight="1">
      <c r="G280" s="81"/>
      <c r="H280" s="81"/>
      <c r="I280" s="81"/>
      <c r="N280" s="81"/>
    </row>
    <row r="281" ht="14.25" customHeight="1">
      <c r="G281" s="81"/>
      <c r="H281" s="81"/>
      <c r="I281" s="81"/>
      <c r="N281" s="81"/>
    </row>
    <row r="282" ht="14.25" customHeight="1">
      <c r="G282" s="81"/>
      <c r="H282" s="81"/>
      <c r="I282" s="81"/>
      <c r="N282" s="81"/>
    </row>
    <row r="283" ht="14.25" customHeight="1">
      <c r="G283" s="81"/>
      <c r="H283" s="81"/>
      <c r="I283" s="81"/>
      <c r="N283" s="81"/>
    </row>
    <row r="284" ht="14.25" customHeight="1">
      <c r="G284" s="81"/>
      <c r="H284" s="81"/>
      <c r="I284" s="81"/>
      <c r="N284" s="81"/>
    </row>
    <row r="285" ht="14.25" customHeight="1">
      <c r="G285" s="81"/>
      <c r="H285" s="81"/>
      <c r="I285" s="81"/>
      <c r="N285" s="81"/>
    </row>
    <row r="286" ht="14.25" customHeight="1">
      <c r="G286" s="81"/>
      <c r="H286" s="81"/>
      <c r="I286" s="81"/>
      <c r="N286" s="81"/>
    </row>
    <row r="287" ht="14.25" customHeight="1">
      <c r="G287" s="81"/>
      <c r="H287" s="81"/>
      <c r="I287" s="81"/>
      <c r="N287" s="81"/>
    </row>
    <row r="288" ht="14.25" customHeight="1">
      <c r="G288" s="81"/>
      <c r="H288" s="81"/>
      <c r="I288" s="81"/>
      <c r="N288" s="81"/>
    </row>
    <row r="289" ht="14.25" customHeight="1">
      <c r="G289" s="81"/>
      <c r="H289" s="81"/>
      <c r="I289" s="81"/>
      <c r="N289" s="81"/>
    </row>
    <row r="290" ht="14.25" customHeight="1">
      <c r="G290" s="81"/>
      <c r="H290" s="81"/>
      <c r="I290" s="81"/>
      <c r="N290" s="81"/>
    </row>
    <row r="291" ht="14.25" customHeight="1">
      <c r="G291" s="81"/>
      <c r="H291" s="81"/>
      <c r="I291" s="81"/>
      <c r="N291" s="81"/>
    </row>
    <row r="292" ht="14.25" customHeight="1">
      <c r="G292" s="81"/>
      <c r="H292" s="81"/>
      <c r="I292" s="81"/>
      <c r="N292" s="81"/>
    </row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2">
    <mergeCell ref="A1:R1"/>
    <mergeCell ref="A2:R2"/>
  </mergeCells>
  <conditionalFormatting sqref="G5:G992 H7">
    <cfRule type="cellIs" dxfId="2" priority="1" operator="equal">
      <formula>"Critical"</formula>
    </cfRule>
  </conditionalFormatting>
  <conditionalFormatting sqref="G5:G992 H7">
    <cfRule type="cellIs" dxfId="2" priority="2" operator="equal">
      <formula>"High"</formula>
    </cfRule>
  </conditionalFormatting>
  <conditionalFormatting sqref="G5:G992 H7">
    <cfRule type="cellIs" dxfId="1" priority="3" operator="equal">
      <formula>"Medium"</formula>
    </cfRule>
  </conditionalFormatting>
  <conditionalFormatting sqref="G5:G992 H7">
    <cfRule type="cellIs" dxfId="0" priority="4" operator="equal">
      <formula>"Low"</formula>
    </cfRule>
  </conditionalFormatting>
  <conditionalFormatting sqref="G5:G992 H7">
    <cfRule type="cellIs" dxfId="4" priority="5" operator="equal">
      <formula>"Info"</formula>
    </cfRule>
  </conditionalFormatting>
  <conditionalFormatting sqref="H5:H992">
    <cfRule type="cellIs" dxfId="2" priority="6" operator="equal">
      <formula>"Critical"</formula>
    </cfRule>
  </conditionalFormatting>
  <conditionalFormatting sqref="H5:H992">
    <cfRule type="cellIs" dxfId="2" priority="7" operator="equal">
      <formula>"High"</formula>
    </cfRule>
  </conditionalFormatting>
  <conditionalFormatting sqref="H5:H992">
    <cfRule type="cellIs" dxfId="1" priority="8" operator="equal">
      <formula>"Medium"</formula>
    </cfRule>
  </conditionalFormatting>
  <conditionalFormatting sqref="H5:H992">
    <cfRule type="cellIs" dxfId="0" priority="9" operator="equal">
      <formula>"Low"</formula>
    </cfRule>
  </conditionalFormatting>
  <conditionalFormatting sqref="N5:N992">
    <cfRule type="cellIs" dxfId="0" priority="10" operator="equal">
      <formula>"Done"</formula>
    </cfRule>
  </conditionalFormatting>
  <conditionalFormatting sqref="N5:N992">
    <cfRule type="cellIs" dxfId="0" priority="11" operator="equal">
      <formula>"Completed"</formula>
    </cfRule>
  </conditionalFormatting>
  <conditionalFormatting sqref="N5:N992">
    <cfRule type="cellIs" dxfId="0" priority="12" operator="equal">
      <formula>"Closed"</formula>
    </cfRule>
  </conditionalFormatting>
  <conditionalFormatting sqref="N5:N992">
    <cfRule type="cellIs" dxfId="0" priority="13" operator="equal">
      <formula>"Fixed"</formula>
    </cfRule>
  </conditionalFormatting>
  <conditionalFormatting sqref="N5:N992">
    <cfRule type="cellIs" dxfId="0" priority="14" operator="equal">
      <formula>"Approved"</formula>
    </cfRule>
  </conditionalFormatting>
  <conditionalFormatting sqref="N5:N992">
    <cfRule type="cellIs" dxfId="1" priority="15" operator="equal">
      <formula>"In Progress"</formula>
    </cfRule>
  </conditionalFormatting>
  <conditionalFormatting sqref="N5:N992">
    <cfRule type="cellIs" dxfId="2" priority="16" operator="equal">
      <formula>"Open"</formula>
    </cfRule>
  </conditionalFormatting>
  <conditionalFormatting sqref="N5:N992">
    <cfRule type="cellIs" dxfId="1" priority="17" operator="equal">
      <formula>"Pending"</formula>
    </cfRule>
  </conditionalFormatting>
  <conditionalFormatting sqref="N5:N992">
    <cfRule type="cellIs" dxfId="2" priority="18" operator="equal">
      <formula>"Blocked"</formula>
    </cfRule>
  </conditionalFormatting>
  <conditionalFormatting sqref="N5:N992">
    <cfRule type="cellIs" dxfId="3" priority="19" operator="equal">
      <formula>"Cancelled"</formula>
    </cfRule>
  </conditionalFormatting>
  <conditionalFormatting sqref="N5:N992">
    <cfRule type="cellIs" dxfId="2" priority="20" operator="equal">
      <formula>"Rejected"</formula>
    </cfRule>
  </conditionalFormatting>
  <conditionalFormatting sqref="N5:N992">
    <cfRule type="cellIs" dxfId="4" priority="21" operator="equal">
      <formula>"Submitted"</formula>
    </cfRule>
  </conditionalFormatting>
  <dataValidations>
    <dataValidation type="list" allowBlank="1" sqref="N5:N292">
      <formula1>"Pending,Open,In Progress,Fixed,Closed,Rejected"</formula1>
    </dataValidation>
    <dataValidation type="list" allowBlank="1" sqref="I5:I292">
      <formula1>"Review,Unit Test,Integration Test,System Test,UAT"</formula1>
    </dataValidation>
    <dataValidation type="list" allowBlank="1" sqref="G5:G6 G7:H7 G8:G292">
      <formula1>"Critical,High,Medium,Low,Info"</formula1>
    </dataValidation>
    <dataValidation type="list" allowBlank="1" sqref="H5:H6 H8:H292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C3292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Col="1"/>
  <cols>
    <col customWidth="1" min="1" max="1" width="6.0"/>
    <col customWidth="1" min="2" max="2" width="12.0"/>
    <col customWidth="1" min="3" max="3" width="36.0"/>
    <col customWidth="1" min="4" max="4" width="16.0"/>
    <col customWidth="1" min="5" max="5" width="14.14"/>
    <col customWidth="1" min="6" max="6" width="28.0"/>
    <col customWidth="1" min="7" max="8" width="14.0"/>
    <col customWidth="1" min="9" max="9" width="12.0"/>
    <col customWidth="1" min="10" max="10" width="32.0"/>
    <col customWidth="1" min="11" max="12" width="12.0"/>
    <col customWidth="1" min="13" max="13" width="20.0"/>
    <col customWidth="1" min="14" max="26" width="8.71"/>
  </cols>
  <sheetData>
    <row r="1" ht="27.75" customHeight="1">
      <c r="A1" s="5" t="s">
        <v>503</v>
      </c>
    </row>
    <row r="2" ht="15.75" customHeight="1">
      <c r="A2" s="3" t="s">
        <v>509</v>
      </c>
    </row>
    <row r="3" ht="6.0" customHeight="1"/>
    <row r="4" ht="25.5" customHeight="1">
      <c r="A4" s="75" t="s">
        <v>7</v>
      </c>
      <c r="B4" s="75" t="s">
        <v>520</v>
      </c>
      <c r="C4" s="75" t="s">
        <v>523</v>
      </c>
      <c r="D4" s="75" t="s">
        <v>525</v>
      </c>
      <c r="E4" s="75" t="s">
        <v>40</v>
      </c>
      <c r="F4" s="75" t="s">
        <v>526</v>
      </c>
      <c r="G4" s="75" t="s">
        <v>527</v>
      </c>
      <c r="H4" s="75" t="s">
        <v>528</v>
      </c>
      <c r="I4" s="75" t="s">
        <v>530</v>
      </c>
      <c r="J4" s="75" t="s">
        <v>531</v>
      </c>
      <c r="K4" s="75" t="s">
        <v>20</v>
      </c>
      <c r="L4" s="75" t="s">
        <v>533</v>
      </c>
      <c r="M4" s="75" t="s">
        <v>21</v>
      </c>
    </row>
    <row r="5" ht="58.5" customHeight="1">
      <c r="A5" s="76" t="s">
        <v>537</v>
      </c>
      <c r="B5" s="77">
        <v>46198.0</v>
      </c>
      <c r="C5" s="76" t="s">
        <v>543</v>
      </c>
      <c r="D5" s="76" t="s">
        <v>551</v>
      </c>
      <c r="E5" s="76" t="s">
        <v>72</v>
      </c>
      <c r="F5" s="76" t="s">
        <v>553</v>
      </c>
      <c r="G5" s="76" t="s">
        <v>205</v>
      </c>
      <c r="H5" s="76" t="s">
        <v>81</v>
      </c>
      <c r="I5" s="76" t="s">
        <v>555</v>
      </c>
      <c r="J5" s="76" t="s">
        <v>556</v>
      </c>
      <c r="K5" s="76" t="s">
        <v>560</v>
      </c>
      <c r="L5" s="77">
        <v>46200.0</v>
      </c>
      <c r="M5" s="76" t="s">
        <v>562</v>
      </c>
      <c r="N5" s="22"/>
    </row>
    <row r="6" ht="38.25" customHeight="1">
      <c r="A6" s="25" t="s">
        <v>566</v>
      </c>
      <c r="B6" s="78">
        <v>46204.0</v>
      </c>
      <c r="C6" s="25" t="s">
        <v>568</v>
      </c>
      <c r="D6" s="25" t="s">
        <v>569</v>
      </c>
      <c r="E6" s="25" t="s">
        <v>72</v>
      </c>
      <c r="F6" s="25" t="s">
        <v>572</v>
      </c>
      <c r="G6" s="25" t="s">
        <v>137</v>
      </c>
      <c r="H6" s="25" t="s">
        <v>205</v>
      </c>
      <c r="I6" s="25" t="s">
        <v>555</v>
      </c>
      <c r="J6" s="25" t="s">
        <v>576</v>
      </c>
      <c r="K6" s="25" t="s">
        <v>560</v>
      </c>
      <c r="L6" s="78">
        <v>46207.0</v>
      </c>
      <c r="M6" s="25" t="s">
        <v>578</v>
      </c>
      <c r="N6" s="22"/>
    </row>
    <row r="7" ht="50.25" customHeight="1">
      <c r="A7" s="76" t="s">
        <v>581</v>
      </c>
      <c r="B7" s="77">
        <v>46218.0</v>
      </c>
      <c r="C7" s="76" t="s">
        <v>582</v>
      </c>
      <c r="D7" s="76" t="s">
        <v>551</v>
      </c>
      <c r="E7" s="76" t="s">
        <v>63</v>
      </c>
      <c r="F7" s="76" t="s">
        <v>585</v>
      </c>
      <c r="G7" s="76" t="s">
        <v>160</v>
      </c>
      <c r="H7" s="76" t="s">
        <v>160</v>
      </c>
      <c r="I7" s="76" t="s">
        <v>587</v>
      </c>
      <c r="J7" s="76" t="s">
        <v>589</v>
      </c>
      <c r="K7" s="76" t="s">
        <v>560</v>
      </c>
      <c r="L7" s="77">
        <v>46220.0</v>
      </c>
      <c r="M7" s="76" t="s">
        <v>593</v>
      </c>
      <c r="N7" s="22"/>
    </row>
    <row r="8" ht="42.0" customHeight="1">
      <c r="A8" s="25" t="s">
        <v>594</v>
      </c>
      <c r="B8" s="78">
        <v>46223.0</v>
      </c>
      <c r="C8" s="25" t="s">
        <v>595</v>
      </c>
      <c r="D8" s="25" t="s">
        <v>597</v>
      </c>
      <c r="E8" s="25" t="s">
        <v>72</v>
      </c>
      <c r="F8" s="25" t="s">
        <v>598</v>
      </c>
      <c r="G8" s="25" t="s">
        <v>205</v>
      </c>
      <c r="H8" s="25" t="s">
        <v>205</v>
      </c>
      <c r="I8" s="25" t="s">
        <v>599</v>
      </c>
      <c r="J8" s="25" t="s">
        <v>601</v>
      </c>
      <c r="K8" s="25" t="s">
        <v>560</v>
      </c>
      <c r="L8" s="78">
        <v>46225.0</v>
      </c>
      <c r="M8" s="25" t="s">
        <v>604</v>
      </c>
      <c r="N8" s="22"/>
    </row>
    <row r="9" ht="44.25" customHeight="1">
      <c r="A9" s="76" t="s">
        <v>606</v>
      </c>
      <c r="B9" s="77">
        <v>46228.0</v>
      </c>
      <c r="C9" s="76" t="s">
        <v>607</v>
      </c>
      <c r="D9" s="76" t="s">
        <v>608</v>
      </c>
      <c r="E9" s="76" t="s">
        <v>63</v>
      </c>
      <c r="F9" s="76" t="s">
        <v>609</v>
      </c>
      <c r="G9" s="76" t="s">
        <v>162</v>
      </c>
      <c r="H9" s="76" t="s">
        <v>81</v>
      </c>
      <c r="I9" s="76" t="s">
        <v>599</v>
      </c>
      <c r="J9" s="76" t="s">
        <v>615</v>
      </c>
      <c r="K9" s="76" t="s">
        <v>560</v>
      </c>
      <c r="L9" s="77">
        <v>46229.0</v>
      </c>
      <c r="M9" s="76" t="s">
        <v>618</v>
      </c>
      <c r="N9" s="22"/>
    </row>
    <row r="10" ht="49.5" customHeight="1">
      <c r="A10" s="25" t="s">
        <v>619</v>
      </c>
      <c r="B10" s="78">
        <v>46231.0</v>
      </c>
      <c r="C10" s="25" t="s">
        <v>621</v>
      </c>
      <c r="D10" s="25" t="s">
        <v>551</v>
      </c>
      <c r="E10" s="25" t="s">
        <v>72</v>
      </c>
      <c r="F10" s="25" t="s">
        <v>624</v>
      </c>
      <c r="G10" s="25" t="s">
        <v>160</v>
      </c>
      <c r="H10" s="25" t="s">
        <v>160</v>
      </c>
      <c r="I10" s="25" t="s">
        <v>599</v>
      </c>
      <c r="J10" s="25" t="s">
        <v>629</v>
      </c>
      <c r="K10" s="25" t="s">
        <v>560</v>
      </c>
      <c r="L10" s="78">
        <v>46233.0</v>
      </c>
      <c r="M10" s="25" t="s">
        <v>633</v>
      </c>
      <c r="N10" s="22"/>
    </row>
    <row r="11" ht="14.25" customHeight="1">
      <c r="D11" s="81"/>
      <c r="E11" s="81"/>
      <c r="K11" s="81"/>
    </row>
    <row r="12" ht="14.25" customHeight="1">
      <c r="D12" s="81"/>
      <c r="E12" s="81"/>
      <c r="K12" s="81"/>
    </row>
    <row r="13" ht="14.25" customHeight="1">
      <c r="D13" s="81"/>
      <c r="E13" s="81"/>
      <c r="K13" s="81"/>
    </row>
    <row r="14" ht="14.25" customHeight="1">
      <c r="D14" s="81"/>
      <c r="E14" s="81"/>
      <c r="K14" s="81"/>
    </row>
    <row r="15" ht="14.25" customHeight="1">
      <c r="D15" s="81"/>
      <c r="E15" s="81"/>
      <c r="K15" s="81"/>
    </row>
    <row r="16" ht="14.25" customHeight="1">
      <c r="D16" s="81"/>
      <c r="E16" s="81"/>
      <c r="K16" s="81"/>
    </row>
    <row r="17" ht="14.25" customHeight="1">
      <c r="D17" s="81"/>
      <c r="E17" s="81"/>
      <c r="K17" s="81"/>
    </row>
    <row r="18" ht="14.25" customHeight="1">
      <c r="D18" s="81"/>
      <c r="E18" s="81"/>
      <c r="K18" s="81"/>
    </row>
    <row r="19" ht="14.25" customHeight="1">
      <c r="D19" s="81"/>
      <c r="E19" s="81"/>
      <c r="K19" s="81"/>
    </row>
    <row r="20" ht="14.25" customHeight="1">
      <c r="D20" s="81"/>
      <c r="E20" s="81"/>
      <c r="K20" s="81"/>
    </row>
    <row r="21" ht="14.25" customHeight="1">
      <c r="D21" s="81"/>
      <c r="E21" s="81"/>
      <c r="K21" s="81"/>
    </row>
    <row r="22" ht="14.25" customHeight="1">
      <c r="D22" s="81"/>
      <c r="E22" s="81"/>
      <c r="K22" s="81"/>
    </row>
    <row r="23" ht="14.25" customHeight="1">
      <c r="D23" s="81"/>
      <c r="E23" s="81"/>
      <c r="K23" s="81"/>
    </row>
    <row r="24" ht="14.25" customHeight="1">
      <c r="D24" s="81"/>
      <c r="E24" s="81"/>
      <c r="K24" s="81"/>
    </row>
    <row r="25" ht="14.25" customHeight="1">
      <c r="D25" s="81"/>
      <c r="E25" s="81"/>
      <c r="K25" s="81"/>
    </row>
    <row r="26" ht="14.25" customHeight="1">
      <c r="D26" s="81"/>
      <c r="E26" s="81"/>
      <c r="K26" s="81"/>
    </row>
    <row r="27" ht="14.25" customHeight="1">
      <c r="D27" s="81"/>
      <c r="E27" s="81"/>
      <c r="K27" s="81"/>
    </row>
    <row r="28" ht="14.25" customHeight="1">
      <c r="D28" s="81"/>
      <c r="E28" s="81"/>
      <c r="K28" s="81"/>
    </row>
    <row r="29" ht="14.25" customHeight="1">
      <c r="D29" s="81"/>
      <c r="E29" s="81"/>
      <c r="K29" s="81"/>
    </row>
    <row r="30" ht="14.25" customHeight="1">
      <c r="D30" s="81"/>
      <c r="E30" s="81"/>
      <c r="K30" s="81"/>
    </row>
    <row r="31" ht="14.25" customHeight="1">
      <c r="D31" s="81"/>
      <c r="E31" s="81"/>
      <c r="K31" s="81"/>
    </row>
    <row r="32" ht="14.25" customHeight="1">
      <c r="D32" s="81"/>
      <c r="E32" s="81"/>
      <c r="K32" s="81"/>
    </row>
    <row r="33" ht="14.25" customHeight="1">
      <c r="D33" s="81"/>
      <c r="E33" s="81"/>
      <c r="K33" s="81"/>
    </row>
    <row r="34" ht="14.25" customHeight="1">
      <c r="D34" s="81"/>
      <c r="E34" s="81"/>
      <c r="K34" s="81"/>
    </row>
    <row r="35" ht="14.25" customHeight="1">
      <c r="D35" s="81"/>
      <c r="E35" s="81"/>
      <c r="K35" s="81"/>
    </row>
    <row r="36" ht="14.25" customHeight="1">
      <c r="D36" s="81"/>
      <c r="E36" s="81"/>
      <c r="K36" s="81"/>
    </row>
    <row r="37" ht="14.25" customHeight="1">
      <c r="D37" s="81"/>
      <c r="E37" s="81"/>
      <c r="K37" s="81"/>
    </row>
    <row r="38" ht="14.25" customHeight="1">
      <c r="D38" s="81"/>
      <c r="E38" s="81"/>
      <c r="K38" s="81"/>
    </row>
    <row r="39" ht="14.25" customHeight="1">
      <c r="D39" s="81"/>
      <c r="E39" s="81"/>
      <c r="K39" s="81"/>
    </row>
    <row r="40" ht="14.25" customHeight="1">
      <c r="D40" s="81"/>
      <c r="E40" s="81"/>
      <c r="K40" s="81"/>
    </row>
    <row r="41" ht="14.25" customHeight="1">
      <c r="D41" s="81"/>
      <c r="E41" s="81"/>
      <c r="K41" s="81"/>
    </row>
    <row r="42" ht="14.25" customHeight="1">
      <c r="D42" s="81"/>
      <c r="E42" s="81"/>
      <c r="K42" s="81"/>
    </row>
    <row r="43" ht="14.25" customHeight="1">
      <c r="D43" s="81"/>
      <c r="E43" s="81"/>
      <c r="K43" s="81"/>
    </row>
    <row r="44" ht="14.25" customHeight="1">
      <c r="D44" s="81"/>
      <c r="E44" s="81"/>
      <c r="K44" s="81"/>
    </row>
    <row r="45" ht="14.25" customHeight="1">
      <c r="D45" s="81"/>
      <c r="E45" s="81"/>
      <c r="K45" s="81"/>
    </row>
    <row r="46" ht="14.25" customHeight="1">
      <c r="D46" s="81"/>
      <c r="E46" s="81"/>
      <c r="K46" s="81"/>
    </row>
    <row r="47" ht="14.25" customHeight="1">
      <c r="D47" s="81"/>
      <c r="E47" s="81"/>
      <c r="K47" s="81"/>
    </row>
    <row r="48" ht="14.25" customHeight="1">
      <c r="D48" s="81"/>
      <c r="E48" s="81"/>
      <c r="K48" s="81"/>
    </row>
    <row r="49" ht="14.25" customHeight="1">
      <c r="D49" s="81"/>
      <c r="E49" s="81"/>
      <c r="K49" s="81"/>
    </row>
    <row r="50" ht="14.25" customHeight="1">
      <c r="D50" s="81"/>
      <c r="E50" s="81"/>
      <c r="K50" s="81"/>
    </row>
    <row r="51" ht="14.25" customHeight="1">
      <c r="D51" s="81"/>
      <c r="E51" s="81"/>
      <c r="K51" s="81"/>
    </row>
    <row r="52" ht="14.25" customHeight="1">
      <c r="D52" s="81"/>
      <c r="E52" s="81"/>
      <c r="K52" s="81"/>
    </row>
    <row r="53" ht="14.25" customHeight="1">
      <c r="D53" s="81"/>
      <c r="E53" s="81"/>
      <c r="K53" s="81"/>
    </row>
    <row r="54" ht="14.25" customHeight="1">
      <c r="D54" s="81"/>
      <c r="E54" s="81"/>
      <c r="K54" s="81"/>
    </row>
    <row r="55" ht="14.25" customHeight="1">
      <c r="D55" s="81"/>
      <c r="E55" s="81"/>
      <c r="K55" s="81"/>
    </row>
    <row r="56" ht="14.25" customHeight="1">
      <c r="D56" s="81"/>
      <c r="E56" s="81"/>
      <c r="K56" s="81"/>
    </row>
    <row r="57" ht="14.25" customHeight="1">
      <c r="D57" s="81"/>
      <c r="E57" s="81"/>
      <c r="K57" s="81"/>
    </row>
    <row r="58" ht="14.25" customHeight="1">
      <c r="D58" s="81"/>
      <c r="E58" s="81"/>
      <c r="K58" s="81"/>
    </row>
    <row r="59" ht="14.25" customHeight="1">
      <c r="D59" s="81"/>
      <c r="E59" s="81"/>
      <c r="K59" s="81"/>
    </row>
    <row r="60" ht="14.25" customHeight="1">
      <c r="D60" s="81"/>
      <c r="E60" s="81"/>
      <c r="K60" s="81"/>
    </row>
    <row r="61" ht="14.25" customHeight="1">
      <c r="D61" s="81"/>
      <c r="E61" s="81"/>
      <c r="K61" s="81"/>
    </row>
    <row r="62" ht="14.25" customHeight="1">
      <c r="D62" s="81"/>
      <c r="E62" s="81"/>
      <c r="K62" s="81"/>
    </row>
    <row r="63" ht="14.25" customHeight="1">
      <c r="D63" s="81"/>
      <c r="E63" s="81"/>
      <c r="K63" s="81"/>
    </row>
    <row r="64" ht="14.25" customHeight="1">
      <c r="D64" s="81"/>
      <c r="E64" s="81"/>
      <c r="K64" s="81"/>
    </row>
    <row r="65" ht="14.25" customHeight="1">
      <c r="D65" s="81"/>
      <c r="E65" s="81"/>
      <c r="K65" s="81"/>
    </row>
    <row r="66" ht="14.25" customHeight="1">
      <c r="D66" s="81"/>
      <c r="E66" s="81"/>
      <c r="K66" s="81"/>
    </row>
    <row r="67" ht="14.25" customHeight="1">
      <c r="D67" s="81"/>
      <c r="E67" s="81"/>
      <c r="K67" s="81"/>
    </row>
    <row r="68" ht="14.25" customHeight="1">
      <c r="D68" s="81"/>
      <c r="E68" s="81"/>
      <c r="K68" s="81"/>
    </row>
    <row r="69" ht="14.25" customHeight="1">
      <c r="D69" s="81"/>
      <c r="E69" s="81"/>
      <c r="K69" s="81"/>
    </row>
    <row r="70" ht="14.25" customHeight="1">
      <c r="D70" s="81"/>
      <c r="E70" s="81"/>
      <c r="K70" s="81"/>
    </row>
    <row r="71" ht="14.25" customHeight="1">
      <c r="D71" s="81"/>
      <c r="E71" s="81"/>
      <c r="K71" s="81"/>
    </row>
    <row r="72" ht="14.25" customHeight="1">
      <c r="D72" s="81"/>
      <c r="E72" s="81"/>
      <c r="K72" s="81"/>
    </row>
    <row r="73" ht="14.25" customHeight="1">
      <c r="D73" s="81"/>
      <c r="E73" s="81"/>
      <c r="K73" s="81"/>
    </row>
    <row r="74" ht="14.25" customHeight="1">
      <c r="D74" s="81"/>
      <c r="E74" s="81"/>
      <c r="K74" s="81"/>
    </row>
    <row r="75" ht="14.25" customHeight="1">
      <c r="D75" s="81"/>
      <c r="E75" s="81"/>
      <c r="K75" s="81"/>
    </row>
    <row r="76" ht="14.25" customHeight="1">
      <c r="D76" s="81"/>
      <c r="E76" s="81"/>
      <c r="K76" s="81"/>
    </row>
    <row r="77" ht="14.25" customHeight="1">
      <c r="D77" s="81"/>
      <c r="E77" s="81"/>
      <c r="K77" s="81"/>
    </row>
    <row r="78" ht="14.25" customHeight="1">
      <c r="D78" s="81"/>
      <c r="E78" s="81"/>
      <c r="K78" s="81"/>
    </row>
    <row r="79" ht="14.25" customHeight="1">
      <c r="D79" s="81"/>
      <c r="E79" s="81"/>
      <c r="K79" s="81"/>
    </row>
    <row r="80" ht="14.25" customHeight="1">
      <c r="D80" s="81"/>
      <c r="E80" s="81"/>
      <c r="K80" s="81"/>
    </row>
    <row r="81" ht="14.25" customHeight="1">
      <c r="D81" s="81"/>
      <c r="E81" s="81"/>
      <c r="K81" s="81"/>
    </row>
    <row r="82" ht="14.25" customHeight="1">
      <c r="D82" s="81"/>
      <c r="E82" s="81"/>
      <c r="K82" s="81"/>
    </row>
    <row r="83" ht="14.25" customHeight="1">
      <c r="D83" s="81"/>
      <c r="E83" s="81"/>
      <c r="K83" s="81"/>
    </row>
    <row r="84" ht="14.25" customHeight="1">
      <c r="D84" s="81"/>
      <c r="E84" s="81"/>
      <c r="K84" s="81"/>
    </row>
    <row r="85" ht="14.25" customHeight="1">
      <c r="D85" s="81"/>
      <c r="E85" s="81"/>
      <c r="K85" s="81"/>
    </row>
    <row r="86" ht="14.25" customHeight="1">
      <c r="D86" s="81"/>
      <c r="E86" s="81"/>
      <c r="K86" s="81"/>
    </row>
    <row r="87" ht="14.25" customHeight="1">
      <c r="D87" s="81"/>
      <c r="E87" s="81"/>
      <c r="K87" s="81"/>
    </row>
    <row r="88" ht="14.25" customHeight="1">
      <c r="D88" s="81"/>
      <c r="E88" s="81"/>
      <c r="K88" s="81"/>
    </row>
    <row r="89" ht="14.25" customHeight="1">
      <c r="D89" s="81"/>
      <c r="E89" s="81"/>
      <c r="K89" s="81"/>
    </row>
    <row r="90" ht="14.25" customHeight="1">
      <c r="D90" s="81"/>
      <c r="E90" s="81"/>
      <c r="K90" s="81"/>
    </row>
    <row r="91" ht="14.25" customHeight="1">
      <c r="D91" s="81"/>
      <c r="E91" s="81"/>
      <c r="K91" s="81"/>
    </row>
    <row r="92" ht="14.25" customHeight="1">
      <c r="D92" s="81"/>
      <c r="E92" s="81"/>
      <c r="K92" s="81"/>
    </row>
    <row r="93" ht="14.25" customHeight="1">
      <c r="D93" s="81"/>
      <c r="E93" s="81"/>
      <c r="K93" s="81"/>
    </row>
    <row r="94" ht="14.25" customHeight="1">
      <c r="D94" s="81"/>
      <c r="E94" s="81"/>
      <c r="K94" s="81"/>
    </row>
    <row r="95" ht="14.25" customHeight="1">
      <c r="D95" s="81"/>
      <c r="E95" s="81"/>
      <c r="K95" s="81"/>
    </row>
    <row r="96" ht="14.25" customHeight="1">
      <c r="D96" s="81"/>
      <c r="E96" s="81"/>
      <c r="K96" s="81"/>
    </row>
    <row r="97" ht="14.25" customHeight="1">
      <c r="D97" s="81"/>
      <c r="E97" s="81"/>
      <c r="K97" s="81"/>
    </row>
    <row r="98" ht="14.25" customHeight="1">
      <c r="D98" s="81"/>
      <c r="E98" s="81"/>
      <c r="K98" s="81"/>
    </row>
    <row r="99" ht="14.25" customHeight="1">
      <c r="D99" s="81"/>
      <c r="E99" s="81"/>
      <c r="K99" s="81"/>
    </row>
    <row r="100" ht="14.25" customHeight="1">
      <c r="D100" s="81"/>
      <c r="E100" s="81"/>
      <c r="K100" s="81"/>
    </row>
    <row r="101" ht="14.25" customHeight="1">
      <c r="D101" s="81"/>
      <c r="E101" s="81"/>
      <c r="K101" s="81"/>
    </row>
    <row r="102" ht="14.25" customHeight="1">
      <c r="D102" s="81"/>
      <c r="E102" s="81"/>
      <c r="K102" s="81"/>
    </row>
    <row r="103" ht="14.25" customHeight="1">
      <c r="D103" s="81"/>
      <c r="E103" s="81"/>
      <c r="K103" s="81"/>
    </row>
    <row r="104" ht="14.25" customHeight="1">
      <c r="D104" s="81"/>
      <c r="E104" s="81"/>
      <c r="K104" s="81"/>
    </row>
    <row r="105" ht="14.25" customHeight="1">
      <c r="D105" s="81"/>
      <c r="E105" s="81"/>
      <c r="K105" s="81"/>
    </row>
    <row r="106" ht="14.25" customHeight="1">
      <c r="D106" s="81"/>
      <c r="E106" s="81"/>
      <c r="K106" s="81"/>
    </row>
    <row r="107" ht="14.25" customHeight="1">
      <c r="D107" s="81"/>
      <c r="E107" s="81"/>
      <c r="K107" s="81"/>
    </row>
    <row r="108" ht="14.25" customHeight="1">
      <c r="D108" s="81"/>
      <c r="E108" s="81"/>
      <c r="K108" s="81"/>
    </row>
    <row r="109" ht="14.25" customHeight="1">
      <c r="D109" s="81"/>
      <c r="E109" s="81"/>
      <c r="K109" s="81"/>
    </row>
    <row r="110" ht="14.25" customHeight="1">
      <c r="D110" s="81"/>
      <c r="E110" s="81"/>
      <c r="K110" s="81"/>
    </row>
    <row r="111" ht="14.25" customHeight="1">
      <c r="D111" s="81"/>
      <c r="E111" s="81"/>
      <c r="K111" s="81"/>
    </row>
    <row r="112" ht="14.25" customHeight="1">
      <c r="D112" s="81"/>
      <c r="E112" s="81"/>
      <c r="K112" s="81"/>
    </row>
    <row r="113" ht="14.25" customHeight="1">
      <c r="D113" s="81"/>
      <c r="E113" s="81"/>
      <c r="K113" s="81"/>
    </row>
    <row r="114" ht="14.25" customHeight="1">
      <c r="D114" s="81"/>
      <c r="E114" s="81"/>
      <c r="K114" s="81"/>
    </row>
    <row r="115" ht="14.25" customHeight="1">
      <c r="D115" s="81"/>
      <c r="E115" s="81"/>
      <c r="K115" s="81"/>
    </row>
    <row r="116" ht="14.25" customHeight="1">
      <c r="D116" s="81"/>
      <c r="E116" s="81"/>
      <c r="K116" s="81"/>
    </row>
    <row r="117" ht="14.25" customHeight="1">
      <c r="D117" s="81"/>
      <c r="E117" s="81"/>
      <c r="K117" s="81"/>
    </row>
    <row r="118" ht="14.25" customHeight="1">
      <c r="D118" s="81"/>
      <c r="E118" s="81"/>
      <c r="K118" s="81"/>
    </row>
    <row r="119" ht="14.25" customHeight="1">
      <c r="D119" s="81"/>
      <c r="E119" s="81"/>
      <c r="K119" s="81"/>
    </row>
    <row r="120" ht="14.25" customHeight="1">
      <c r="D120" s="81"/>
      <c r="E120" s="81"/>
      <c r="K120" s="81"/>
    </row>
    <row r="121" ht="14.25" customHeight="1">
      <c r="D121" s="81"/>
      <c r="E121" s="81"/>
      <c r="K121" s="81"/>
    </row>
    <row r="122" ht="14.25" customHeight="1">
      <c r="D122" s="81"/>
      <c r="E122" s="81"/>
      <c r="K122" s="81"/>
    </row>
    <row r="123" ht="14.25" customHeight="1">
      <c r="D123" s="81"/>
      <c r="E123" s="81"/>
      <c r="K123" s="81"/>
    </row>
    <row r="124" ht="14.25" customHeight="1">
      <c r="D124" s="81"/>
      <c r="E124" s="81"/>
      <c r="K124" s="81"/>
    </row>
    <row r="125" ht="14.25" customHeight="1">
      <c r="D125" s="81"/>
      <c r="E125" s="81"/>
      <c r="K125" s="81"/>
    </row>
    <row r="126" ht="14.25" customHeight="1">
      <c r="D126" s="81"/>
      <c r="E126" s="81"/>
      <c r="K126" s="81"/>
    </row>
    <row r="127" ht="14.25" customHeight="1">
      <c r="D127" s="81"/>
      <c r="E127" s="81"/>
      <c r="K127" s="81"/>
    </row>
    <row r="128" ht="14.25" customHeight="1">
      <c r="D128" s="81"/>
      <c r="E128" s="81"/>
      <c r="K128" s="81"/>
    </row>
    <row r="129" ht="14.25" customHeight="1">
      <c r="D129" s="81"/>
      <c r="E129" s="81"/>
      <c r="K129" s="81"/>
    </row>
    <row r="130" ht="14.25" customHeight="1">
      <c r="D130" s="81"/>
      <c r="E130" s="81"/>
      <c r="K130" s="81"/>
    </row>
    <row r="131" ht="14.25" customHeight="1">
      <c r="D131" s="81"/>
      <c r="E131" s="81"/>
      <c r="K131" s="81"/>
    </row>
    <row r="132" ht="14.25" customHeight="1">
      <c r="D132" s="81"/>
      <c r="E132" s="81"/>
      <c r="K132" s="81"/>
    </row>
    <row r="133" ht="14.25" customHeight="1">
      <c r="D133" s="81"/>
      <c r="E133" s="81"/>
      <c r="K133" s="81"/>
    </row>
    <row r="134" ht="14.25" customHeight="1">
      <c r="D134" s="81"/>
      <c r="E134" s="81"/>
      <c r="K134" s="81"/>
    </row>
    <row r="135" ht="14.25" customHeight="1">
      <c r="D135" s="81"/>
      <c r="E135" s="81"/>
      <c r="K135" s="81"/>
    </row>
    <row r="136" ht="14.25" customHeight="1">
      <c r="D136" s="81"/>
      <c r="E136" s="81"/>
      <c r="K136" s="81"/>
    </row>
    <row r="137" ht="14.25" customHeight="1">
      <c r="D137" s="81"/>
      <c r="E137" s="81"/>
      <c r="K137" s="81"/>
    </row>
    <row r="138" ht="14.25" customHeight="1">
      <c r="D138" s="81"/>
      <c r="E138" s="81"/>
      <c r="K138" s="81"/>
    </row>
    <row r="139" ht="14.25" customHeight="1">
      <c r="D139" s="81"/>
      <c r="E139" s="81"/>
      <c r="K139" s="81"/>
    </row>
    <row r="140" ht="14.25" customHeight="1">
      <c r="D140" s="81"/>
      <c r="E140" s="81"/>
      <c r="K140" s="81"/>
    </row>
    <row r="141" ht="14.25" customHeight="1">
      <c r="D141" s="81"/>
      <c r="E141" s="81"/>
      <c r="K141" s="81"/>
    </row>
    <row r="142" ht="14.25" customHeight="1">
      <c r="D142" s="81"/>
      <c r="E142" s="81"/>
      <c r="K142" s="81"/>
    </row>
    <row r="143" ht="14.25" customHeight="1">
      <c r="D143" s="81"/>
      <c r="E143" s="81"/>
      <c r="K143" s="81"/>
    </row>
    <row r="144" ht="14.25" customHeight="1">
      <c r="D144" s="81"/>
      <c r="E144" s="81"/>
      <c r="K144" s="81"/>
    </row>
    <row r="145" ht="14.25" customHeight="1">
      <c r="D145" s="81"/>
      <c r="E145" s="81"/>
      <c r="K145" s="81"/>
    </row>
    <row r="146" ht="14.25" customHeight="1">
      <c r="D146" s="81"/>
      <c r="E146" s="81"/>
      <c r="K146" s="81"/>
    </row>
    <row r="147" ht="14.25" customHeight="1">
      <c r="D147" s="81"/>
      <c r="E147" s="81"/>
      <c r="K147" s="81"/>
    </row>
    <row r="148" ht="14.25" customHeight="1">
      <c r="D148" s="81"/>
      <c r="E148" s="81"/>
      <c r="K148" s="81"/>
    </row>
    <row r="149" ht="14.25" customHeight="1">
      <c r="D149" s="81"/>
      <c r="E149" s="81"/>
      <c r="K149" s="81"/>
    </row>
    <row r="150" ht="14.25" customHeight="1">
      <c r="D150" s="81"/>
      <c r="E150" s="81"/>
      <c r="K150" s="81"/>
    </row>
    <row r="151" ht="14.25" customHeight="1">
      <c r="D151" s="81"/>
      <c r="E151" s="81"/>
      <c r="K151" s="81"/>
    </row>
    <row r="152" ht="14.25" customHeight="1">
      <c r="D152" s="81"/>
      <c r="E152" s="81"/>
      <c r="K152" s="81"/>
    </row>
    <row r="153" ht="14.25" customHeight="1">
      <c r="D153" s="81"/>
      <c r="E153" s="81"/>
      <c r="K153" s="81"/>
    </row>
    <row r="154" ht="14.25" customHeight="1">
      <c r="D154" s="81"/>
      <c r="E154" s="81"/>
      <c r="K154" s="81"/>
    </row>
    <row r="155" ht="14.25" customHeight="1">
      <c r="D155" s="81"/>
      <c r="E155" s="81"/>
      <c r="K155" s="81"/>
    </row>
    <row r="156" ht="14.25" customHeight="1">
      <c r="D156" s="81"/>
      <c r="E156" s="81"/>
      <c r="K156" s="81"/>
    </row>
    <row r="157" ht="14.25" customHeight="1">
      <c r="D157" s="81"/>
      <c r="E157" s="81"/>
      <c r="K157" s="81"/>
    </row>
    <row r="158" ht="14.25" customHeight="1">
      <c r="D158" s="81"/>
      <c r="E158" s="81"/>
      <c r="K158" s="81"/>
    </row>
    <row r="159" ht="14.25" customHeight="1">
      <c r="D159" s="81"/>
      <c r="E159" s="81"/>
      <c r="K159" s="81"/>
    </row>
    <row r="160" ht="14.25" customHeight="1">
      <c r="D160" s="81"/>
      <c r="E160" s="81"/>
      <c r="K160" s="81"/>
    </row>
    <row r="161" ht="14.25" customHeight="1">
      <c r="D161" s="81"/>
      <c r="E161" s="81"/>
      <c r="K161" s="81"/>
    </row>
    <row r="162" ht="14.25" customHeight="1">
      <c r="D162" s="81"/>
      <c r="E162" s="81"/>
      <c r="K162" s="81"/>
    </row>
    <row r="163" ht="14.25" customHeight="1">
      <c r="D163" s="81"/>
      <c r="E163" s="81"/>
      <c r="K163" s="81"/>
    </row>
    <row r="164" ht="14.25" customHeight="1">
      <c r="D164" s="81"/>
      <c r="E164" s="81"/>
      <c r="K164" s="81"/>
    </row>
    <row r="165" ht="14.25" customHeight="1">
      <c r="D165" s="81"/>
      <c r="E165" s="81"/>
      <c r="K165" s="81"/>
    </row>
    <row r="166" ht="14.25" customHeight="1">
      <c r="D166" s="81"/>
      <c r="E166" s="81"/>
      <c r="K166" s="81"/>
    </row>
    <row r="167" ht="14.25" customHeight="1">
      <c r="D167" s="81"/>
      <c r="E167" s="81"/>
      <c r="K167" s="81"/>
    </row>
    <row r="168" ht="14.25" customHeight="1">
      <c r="D168" s="81"/>
      <c r="E168" s="81"/>
      <c r="K168" s="81"/>
    </row>
    <row r="169" ht="14.25" customHeight="1">
      <c r="D169" s="81"/>
      <c r="E169" s="81"/>
      <c r="K169" s="81"/>
    </row>
    <row r="170" ht="14.25" customHeight="1">
      <c r="D170" s="81"/>
      <c r="E170" s="81"/>
      <c r="K170" s="81"/>
    </row>
    <row r="171" ht="14.25" customHeight="1">
      <c r="D171" s="81"/>
      <c r="E171" s="81"/>
      <c r="K171" s="81"/>
    </row>
    <row r="172" ht="14.25" customHeight="1">
      <c r="D172" s="81"/>
      <c r="E172" s="81"/>
      <c r="K172" s="81"/>
    </row>
    <row r="173" ht="14.25" customHeight="1">
      <c r="D173" s="81"/>
      <c r="E173" s="81"/>
      <c r="K173" s="81"/>
    </row>
    <row r="174" ht="14.25" customHeight="1">
      <c r="D174" s="81"/>
      <c r="E174" s="81"/>
      <c r="K174" s="81"/>
    </row>
    <row r="175" ht="14.25" customHeight="1">
      <c r="D175" s="81"/>
      <c r="E175" s="81"/>
      <c r="K175" s="81"/>
    </row>
    <row r="176" ht="14.25" customHeight="1">
      <c r="D176" s="81"/>
      <c r="E176" s="81"/>
      <c r="K176" s="81"/>
    </row>
    <row r="177" ht="14.25" customHeight="1">
      <c r="D177" s="81"/>
      <c r="E177" s="81"/>
      <c r="K177" s="81"/>
    </row>
    <row r="178" ht="14.25" customHeight="1">
      <c r="D178" s="81"/>
      <c r="E178" s="81"/>
      <c r="K178" s="81"/>
    </row>
    <row r="179" ht="14.25" customHeight="1">
      <c r="D179" s="81"/>
      <c r="E179" s="81"/>
      <c r="K179" s="81"/>
    </row>
    <row r="180" ht="14.25" customHeight="1">
      <c r="D180" s="81"/>
      <c r="E180" s="81"/>
      <c r="K180" s="81"/>
    </row>
    <row r="181" ht="14.25" customHeight="1">
      <c r="D181" s="81"/>
      <c r="E181" s="81"/>
      <c r="K181" s="81"/>
    </row>
    <row r="182" ht="14.25" customHeight="1">
      <c r="D182" s="81"/>
      <c r="E182" s="81"/>
      <c r="K182" s="81"/>
    </row>
    <row r="183" ht="14.25" customHeight="1">
      <c r="D183" s="81"/>
      <c r="E183" s="81"/>
      <c r="K183" s="81"/>
    </row>
    <row r="184" ht="14.25" customHeight="1">
      <c r="D184" s="81"/>
      <c r="E184" s="81"/>
      <c r="K184" s="81"/>
    </row>
    <row r="185" ht="14.25" customHeight="1">
      <c r="D185" s="81"/>
      <c r="E185" s="81"/>
      <c r="K185" s="81"/>
    </row>
    <row r="186" ht="14.25" customHeight="1">
      <c r="D186" s="81"/>
      <c r="E186" s="81"/>
      <c r="K186" s="81"/>
    </row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mergeCells count="2">
    <mergeCell ref="A1:M1"/>
    <mergeCell ref="A2:M2"/>
  </mergeCells>
  <conditionalFormatting sqref="E5:E986">
    <cfRule type="cellIs" dxfId="2" priority="1" operator="equal">
      <formula>"Critical"</formula>
    </cfRule>
  </conditionalFormatting>
  <conditionalFormatting sqref="E5:E986">
    <cfRule type="cellIs" dxfId="2" priority="2" operator="equal">
      <formula>"High"</formula>
    </cfRule>
  </conditionalFormatting>
  <conditionalFormatting sqref="E5:E986">
    <cfRule type="cellIs" dxfId="1" priority="3" operator="equal">
      <formula>"Medium"</formula>
    </cfRule>
  </conditionalFormatting>
  <conditionalFormatting sqref="E5:E986">
    <cfRule type="cellIs" dxfId="0" priority="4" operator="equal">
      <formula>"Low"</formula>
    </cfRule>
  </conditionalFormatting>
  <conditionalFormatting sqref="K5:K986">
    <cfRule type="cellIs" dxfId="0" priority="5" operator="equal">
      <formula>"Done"</formula>
    </cfRule>
  </conditionalFormatting>
  <conditionalFormatting sqref="K5:K986">
    <cfRule type="cellIs" dxfId="0" priority="6" operator="equal">
      <formula>"Completed"</formula>
    </cfRule>
  </conditionalFormatting>
  <conditionalFormatting sqref="K5:K986">
    <cfRule type="cellIs" dxfId="0" priority="7" operator="equal">
      <formula>"Closed"</formula>
    </cfRule>
  </conditionalFormatting>
  <conditionalFormatting sqref="K5:K986">
    <cfRule type="cellIs" dxfId="0" priority="8" operator="equal">
      <formula>"Fixed"</formula>
    </cfRule>
  </conditionalFormatting>
  <conditionalFormatting sqref="K5:K986">
    <cfRule type="cellIs" dxfId="0" priority="9" operator="equal">
      <formula>"Approved"</formula>
    </cfRule>
  </conditionalFormatting>
  <conditionalFormatting sqref="K5:K986">
    <cfRule type="cellIs" dxfId="1" priority="10" operator="equal">
      <formula>"In Progress"</formula>
    </cfRule>
  </conditionalFormatting>
  <conditionalFormatting sqref="K5:K986">
    <cfRule type="cellIs" dxfId="2" priority="11" operator="equal">
      <formula>"Open"</formula>
    </cfRule>
  </conditionalFormatting>
  <conditionalFormatting sqref="K5:K986">
    <cfRule type="cellIs" dxfId="1" priority="12" operator="equal">
      <formula>"Pending"</formula>
    </cfRule>
  </conditionalFormatting>
  <conditionalFormatting sqref="K5:K986">
    <cfRule type="cellIs" dxfId="2" priority="13" operator="equal">
      <formula>"Blocked"</formula>
    </cfRule>
  </conditionalFormatting>
  <conditionalFormatting sqref="K5:K986">
    <cfRule type="cellIs" dxfId="3" priority="14" operator="equal">
      <formula>"Cancelled"</formula>
    </cfRule>
  </conditionalFormatting>
  <conditionalFormatting sqref="K5:K986">
    <cfRule type="cellIs" dxfId="2" priority="15" operator="equal">
      <formula>"Rejected"</formula>
    </cfRule>
  </conditionalFormatting>
  <conditionalFormatting sqref="K5:K986">
    <cfRule type="cellIs" dxfId="4" priority="16" operator="equal">
      <formula>"Submitted"</formula>
    </cfRule>
  </conditionalFormatting>
  <dataValidations>
    <dataValidation type="list" allowBlank="1" sqref="K5:K186">
      <formula1>"Open,In Progress,Closed,Deferred,Cancelled"</formula1>
    </dataValidation>
    <dataValidation type="list" allowBlank="1" sqref="D5:D186">
      <formula1>"Technical,Process,Resource,Scope,External,Other"</formula1>
    </dataValidation>
    <dataValidation type="list" allowBlank="1" sqref="E5:E186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3C0C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Col="1"/>
  <cols>
    <col customWidth="1" min="1" max="1" width="7.29"/>
    <col customWidth="1" min="2" max="2" width="36.0"/>
    <col customWidth="1" min="3" max="3" width="16.0"/>
    <col customWidth="1" min="4" max="4" width="13.0"/>
    <col customWidth="1" min="5" max="5" width="10.0"/>
    <col customWidth="1" min="6" max="6" width="14.0"/>
    <col customWidth="1" min="7" max="7" width="34.0"/>
    <col customWidth="1" min="8" max="8" width="30.0"/>
    <col customWidth="1" min="9" max="9" width="14.0"/>
    <col customWidth="1" min="10" max="10" width="12.0"/>
    <col customWidth="1" min="11" max="11" width="14.0"/>
    <col customWidth="1" min="12" max="12" width="20.0"/>
    <col customWidth="1" min="13" max="26" width="8.71"/>
  </cols>
  <sheetData>
    <row r="1" ht="14.25" customHeight="1">
      <c r="A1" s="5" t="s">
        <v>600</v>
      </c>
    </row>
    <row r="2" ht="14.25" customHeight="1">
      <c r="A2" s="3" t="s">
        <v>605</v>
      </c>
    </row>
    <row r="3" ht="14.25" customHeight="1"/>
    <row r="4" ht="14.25" customHeight="1">
      <c r="A4" s="79" t="s">
        <v>7</v>
      </c>
      <c r="B4" s="79" t="s">
        <v>620</v>
      </c>
      <c r="C4" s="79" t="s">
        <v>525</v>
      </c>
      <c r="D4" s="79" t="s">
        <v>623</v>
      </c>
      <c r="E4" s="79" t="s">
        <v>625</v>
      </c>
      <c r="F4" s="79" t="s">
        <v>626</v>
      </c>
      <c r="G4" s="79" t="s">
        <v>627</v>
      </c>
      <c r="H4" s="79" t="s">
        <v>630</v>
      </c>
      <c r="I4" s="79" t="s">
        <v>528</v>
      </c>
      <c r="J4" s="79" t="s">
        <v>530</v>
      </c>
      <c r="K4" s="79" t="s">
        <v>20</v>
      </c>
      <c r="L4" s="79" t="s">
        <v>21</v>
      </c>
    </row>
    <row r="5" ht="14.25" customHeight="1">
      <c r="A5" s="82" t="s">
        <v>637</v>
      </c>
      <c r="B5" s="82" t="s">
        <v>639</v>
      </c>
      <c r="C5" s="82" t="s">
        <v>597</v>
      </c>
      <c r="D5" s="83">
        <v>2.0</v>
      </c>
      <c r="E5" s="83">
        <v>3.0</v>
      </c>
      <c r="F5" s="83">
        <v>6.0</v>
      </c>
      <c r="G5" s="82" t="s">
        <v>651</v>
      </c>
      <c r="H5" s="82" t="s">
        <v>652</v>
      </c>
      <c r="I5" s="82" t="s">
        <v>81</v>
      </c>
      <c r="J5" s="82" t="s">
        <v>653</v>
      </c>
      <c r="K5" s="84" t="s">
        <v>560</v>
      </c>
      <c r="L5" s="85"/>
    </row>
    <row r="6" ht="14.25" customHeight="1">
      <c r="A6" s="84" t="s">
        <v>663</v>
      </c>
      <c r="B6" s="84" t="s">
        <v>664</v>
      </c>
      <c r="C6" s="84" t="s">
        <v>608</v>
      </c>
      <c r="D6" s="86">
        <v>1.0</v>
      </c>
      <c r="E6" s="86">
        <v>3.0</v>
      </c>
      <c r="F6" s="86">
        <v>3.0</v>
      </c>
      <c r="G6" s="84" t="s">
        <v>671</v>
      </c>
      <c r="H6" s="84" t="s">
        <v>672</v>
      </c>
      <c r="I6" s="84" t="s">
        <v>81</v>
      </c>
      <c r="J6" s="87" t="s">
        <v>587</v>
      </c>
      <c r="K6" s="84" t="s">
        <v>678</v>
      </c>
      <c r="L6" s="51"/>
    </row>
    <row r="7" ht="14.25" customHeight="1">
      <c r="A7" s="82" t="s">
        <v>682</v>
      </c>
      <c r="B7" s="82" t="s">
        <v>683</v>
      </c>
      <c r="C7" s="82" t="s">
        <v>569</v>
      </c>
      <c r="D7" s="83">
        <v>2.0</v>
      </c>
      <c r="E7" s="83">
        <v>2.0</v>
      </c>
      <c r="F7" s="83">
        <v>4.0</v>
      </c>
      <c r="G7" s="82" t="s">
        <v>685</v>
      </c>
      <c r="H7" s="82" t="s">
        <v>686</v>
      </c>
      <c r="I7" s="82" t="s">
        <v>81</v>
      </c>
      <c r="J7" s="88" t="s">
        <v>555</v>
      </c>
      <c r="K7" s="84" t="s">
        <v>560</v>
      </c>
      <c r="L7" s="85"/>
    </row>
    <row r="8" ht="14.25" customHeight="1">
      <c r="A8" s="84" t="s">
        <v>693</v>
      </c>
      <c r="B8" s="84" t="s">
        <v>694</v>
      </c>
      <c r="C8" s="84" t="s">
        <v>551</v>
      </c>
      <c r="D8" s="86">
        <v>2.0</v>
      </c>
      <c r="E8" s="86">
        <v>2.0</v>
      </c>
      <c r="F8" s="86">
        <v>4.0</v>
      </c>
      <c r="G8" s="84" t="s">
        <v>696</v>
      </c>
      <c r="H8" s="84" t="s">
        <v>697</v>
      </c>
      <c r="I8" s="84" t="s">
        <v>205</v>
      </c>
      <c r="J8" s="87" t="s">
        <v>599</v>
      </c>
      <c r="K8" s="84" t="s">
        <v>560</v>
      </c>
      <c r="L8" s="51"/>
    </row>
    <row r="9" ht="14.25" customHeight="1">
      <c r="A9" s="82" t="s">
        <v>700</v>
      </c>
      <c r="B9" s="82" t="s">
        <v>701</v>
      </c>
      <c r="C9" s="82" t="s">
        <v>551</v>
      </c>
      <c r="D9" s="83">
        <v>1.0</v>
      </c>
      <c r="E9" s="83">
        <v>2.0</v>
      </c>
      <c r="F9" s="83">
        <v>2.0</v>
      </c>
      <c r="G9" s="82" t="s">
        <v>708</v>
      </c>
      <c r="H9" s="82" t="s">
        <v>709</v>
      </c>
      <c r="I9" s="82" t="s">
        <v>160</v>
      </c>
      <c r="J9" s="82" t="s">
        <v>587</v>
      </c>
      <c r="K9" s="84" t="s">
        <v>678</v>
      </c>
      <c r="L9" s="85"/>
    </row>
    <row r="10" ht="48.75" customHeight="1">
      <c r="A10" s="84" t="s">
        <v>711</v>
      </c>
      <c r="B10" s="84" t="s">
        <v>712</v>
      </c>
      <c r="C10" s="84" t="s">
        <v>713</v>
      </c>
      <c r="D10" s="86">
        <v>2.0</v>
      </c>
      <c r="E10" s="86">
        <v>3.0</v>
      </c>
      <c r="F10" s="86">
        <v>6.0</v>
      </c>
      <c r="G10" s="84" t="s">
        <v>715</v>
      </c>
      <c r="H10" s="84" t="s">
        <v>716</v>
      </c>
      <c r="I10" s="84" t="s">
        <v>83</v>
      </c>
      <c r="J10" s="84" t="s">
        <v>599</v>
      </c>
      <c r="K10" s="84" t="s">
        <v>678</v>
      </c>
      <c r="L10" s="51"/>
    </row>
    <row r="11" ht="14.25" customHeight="1">
      <c r="A11" s="82" t="s">
        <v>722</v>
      </c>
      <c r="B11" s="88" t="s">
        <v>723</v>
      </c>
      <c r="C11" s="88" t="s">
        <v>551</v>
      </c>
      <c r="D11" s="83">
        <v>2.0</v>
      </c>
      <c r="E11" s="89">
        <v>3.0</v>
      </c>
      <c r="F11" s="89">
        <v>6.0</v>
      </c>
      <c r="G11" s="88" t="s">
        <v>725</v>
      </c>
      <c r="H11" s="88" t="s">
        <v>726</v>
      </c>
      <c r="I11" s="88" t="s">
        <v>160</v>
      </c>
      <c r="J11" s="88" t="s">
        <v>555</v>
      </c>
      <c r="K11" s="84" t="s">
        <v>560</v>
      </c>
      <c r="L11" s="51"/>
    </row>
    <row r="12" ht="14.25" customHeight="1">
      <c r="A12" s="84" t="s">
        <v>727</v>
      </c>
      <c r="B12" s="87" t="s">
        <v>728</v>
      </c>
      <c r="C12" s="87" t="s">
        <v>551</v>
      </c>
      <c r="D12" s="86">
        <v>2.0</v>
      </c>
      <c r="E12" s="90">
        <v>3.0</v>
      </c>
      <c r="F12" s="90">
        <v>6.0</v>
      </c>
      <c r="G12" s="87" t="s">
        <v>731</v>
      </c>
      <c r="H12" s="87" t="s">
        <v>733</v>
      </c>
      <c r="I12" s="87" t="s">
        <v>160</v>
      </c>
      <c r="J12" s="87" t="s">
        <v>555</v>
      </c>
      <c r="K12" s="84" t="s">
        <v>560</v>
      </c>
      <c r="L12" s="85"/>
    </row>
    <row r="13" ht="14.25" customHeight="1">
      <c r="A13" s="82" t="s">
        <v>737</v>
      </c>
      <c r="B13" s="88" t="s">
        <v>738</v>
      </c>
      <c r="C13" s="88" t="s">
        <v>713</v>
      </c>
      <c r="D13" s="83">
        <v>2.0</v>
      </c>
      <c r="E13" s="89">
        <v>3.0</v>
      </c>
      <c r="F13" s="89">
        <v>6.0</v>
      </c>
      <c r="G13" s="91" t="s">
        <v>740</v>
      </c>
      <c r="H13" s="88" t="s">
        <v>742</v>
      </c>
      <c r="I13" s="88" t="s">
        <v>81</v>
      </c>
      <c r="J13" s="88" t="s">
        <v>587</v>
      </c>
      <c r="K13" s="84" t="s">
        <v>560</v>
      </c>
      <c r="L13" s="51"/>
    </row>
    <row r="14" ht="14.25" customHeight="1">
      <c r="A14" s="84" t="s">
        <v>747</v>
      </c>
      <c r="B14" s="87" t="s">
        <v>749</v>
      </c>
      <c r="C14" s="87" t="s">
        <v>750</v>
      </c>
      <c r="D14" s="86">
        <v>2.0</v>
      </c>
      <c r="E14" s="86">
        <v>2.0</v>
      </c>
      <c r="F14" s="90">
        <v>4.0</v>
      </c>
      <c r="G14" s="87" t="s">
        <v>751</v>
      </c>
      <c r="H14" s="87" t="s">
        <v>753</v>
      </c>
      <c r="I14" s="87" t="s">
        <v>81</v>
      </c>
      <c r="J14" s="87" t="s">
        <v>587</v>
      </c>
      <c r="K14" s="84" t="s">
        <v>560</v>
      </c>
      <c r="L14" s="85"/>
    </row>
    <row r="15" ht="14.25" customHeight="1">
      <c r="A15" s="82" t="s">
        <v>754</v>
      </c>
      <c r="B15" s="88" t="s">
        <v>756</v>
      </c>
      <c r="C15" s="88" t="s">
        <v>713</v>
      </c>
      <c r="D15" s="83">
        <v>2.0</v>
      </c>
      <c r="E15" s="89">
        <v>3.0</v>
      </c>
      <c r="F15" s="89">
        <v>6.0</v>
      </c>
      <c r="G15" s="88" t="s">
        <v>761</v>
      </c>
      <c r="H15" s="88" t="s">
        <v>763</v>
      </c>
      <c r="I15" s="88" t="s">
        <v>205</v>
      </c>
      <c r="J15" s="88" t="s">
        <v>587</v>
      </c>
      <c r="K15" s="84" t="s">
        <v>560</v>
      </c>
      <c r="L15" s="51"/>
    </row>
    <row r="16" ht="14.25" customHeight="1">
      <c r="A16" s="84" t="s">
        <v>765</v>
      </c>
      <c r="B16" s="87" t="s">
        <v>766</v>
      </c>
      <c r="C16" s="87" t="s">
        <v>767</v>
      </c>
      <c r="D16" s="86">
        <v>2.0</v>
      </c>
      <c r="E16" s="90">
        <v>3.0</v>
      </c>
      <c r="F16" s="90">
        <v>6.0</v>
      </c>
      <c r="G16" s="87" t="s">
        <v>768</v>
      </c>
      <c r="H16" s="87" t="s">
        <v>770</v>
      </c>
      <c r="I16" s="87" t="s">
        <v>205</v>
      </c>
      <c r="J16" s="87" t="s">
        <v>599</v>
      </c>
      <c r="K16" s="84" t="s">
        <v>560</v>
      </c>
      <c r="L16" s="85"/>
    </row>
    <row r="17" ht="14.25" customHeight="1">
      <c r="A17" s="82" t="s">
        <v>772</v>
      </c>
      <c r="B17" s="88" t="s">
        <v>773</v>
      </c>
      <c r="C17" s="88" t="s">
        <v>597</v>
      </c>
      <c r="D17" s="83">
        <v>2.0</v>
      </c>
      <c r="E17" s="89">
        <v>3.0</v>
      </c>
      <c r="F17" s="89">
        <v>6.0</v>
      </c>
      <c r="G17" s="88" t="s">
        <v>774</v>
      </c>
      <c r="H17" s="88" t="s">
        <v>775</v>
      </c>
      <c r="I17" s="88" t="s">
        <v>205</v>
      </c>
      <c r="J17" s="88" t="s">
        <v>599</v>
      </c>
      <c r="K17" s="84" t="s">
        <v>560</v>
      </c>
      <c r="L17" s="51"/>
    </row>
    <row r="18" ht="14.25" customHeight="1">
      <c r="A18" s="84" t="s">
        <v>780</v>
      </c>
      <c r="B18" s="87" t="s">
        <v>781</v>
      </c>
      <c r="C18" s="87" t="s">
        <v>551</v>
      </c>
      <c r="D18" s="86">
        <v>2.0</v>
      </c>
      <c r="E18" s="90">
        <v>3.0</v>
      </c>
      <c r="F18" s="90">
        <v>6.0</v>
      </c>
      <c r="G18" s="87" t="s">
        <v>783</v>
      </c>
      <c r="H18" s="87" t="s">
        <v>784</v>
      </c>
      <c r="I18" s="87" t="s">
        <v>83</v>
      </c>
      <c r="J18" s="87" t="s">
        <v>587</v>
      </c>
      <c r="K18" s="84" t="s">
        <v>560</v>
      </c>
      <c r="L18" s="85"/>
    </row>
    <row r="19" ht="14.25" customHeight="1">
      <c r="A19" s="82" t="s">
        <v>786</v>
      </c>
      <c r="B19" s="88" t="s">
        <v>787</v>
      </c>
      <c r="C19" s="88" t="s">
        <v>789</v>
      </c>
      <c r="D19" s="89">
        <v>1.0</v>
      </c>
      <c r="E19" s="89">
        <v>3.0</v>
      </c>
      <c r="F19" s="89">
        <v>3.0</v>
      </c>
      <c r="G19" s="88" t="s">
        <v>790</v>
      </c>
      <c r="H19" s="88" t="s">
        <v>791</v>
      </c>
      <c r="I19" s="88" t="s">
        <v>162</v>
      </c>
      <c r="J19" s="88" t="s">
        <v>599</v>
      </c>
      <c r="K19" s="84" t="s">
        <v>560</v>
      </c>
      <c r="L19" s="51"/>
    </row>
    <row r="20" ht="14.25" customHeight="1">
      <c r="C20" s="81"/>
      <c r="D20" s="81"/>
      <c r="E20" s="81"/>
      <c r="K20" s="81"/>
    </row>
    <row r="21" ht="14.25" customHeight="1">
      <c r="C21" s="81"/>
      <c r="D21" s="81"/>
      <c r="E21" s="81"/>
      <c r="K21" s="81"/>
    </row>
    <row r="22" ht="14.25" customHeight="1">
      <c r="C22" s="81"/>
      <c r="D22" s="81"/>
      <c r="E22" s="81"/>
      <c r="K22" s="81"/>
    </row>
    <row r="23" ht="14.25" customHeight="1">
      <c r="C23" s="81"/>
      <c r="D23" s="81"/>
      <c r="E23" s="81"/>
      <c r="K23" s="81"/>
    </row>
    <row r="24" ht="14.25" customHeight="1">
      <c r="C24" s="81"/>
      <c r="D24" s="81"/>
      <c r="E24" s="81"/>
      <c r="K24" s="81"/>
    </row>
    <row r="25" ht="14.25" customHeight="1">
      <c r="C25" s="81"/>
      <c r="D25" s="81"/>
      <c r="E25" s="81"/>
      <c r="K25" s="81"/>
    </row>
    <row r="26" ht="14.25" customHeight="1">
      <c r="C26" s="81"/>
      <c r="D26" s="81"/>
      <c r="E26" s="81"/>
      <c r="K26" s="81"/>
    </row>
    <row r="27" ht="14.25" customHeight="1">
      <c r="C27" s="81"/>
      <c r="D27" s="81"/>
      <c r="E27" s="81"/>
      <c r="K27" s="81"/>
    </row>
    <row r="28" ht="14.25" customHeight="1">
      <c r="C28" s="81"/>
      <c r="D28" s="81"/>
      <c r="E28" s="81"/>
      <c r="K28" s="81"/>
    </row>
    <row r="29" ht="14.25" customHeight="1">
      <c r="C29" s="81"/>
      <c r="D29" s="81"/>
      <c r="E29" s="81"/>
      <c r="K29" s="81"/>
    </row>
    <row r="30" ht="14.25" customHeight="1">
      <c r="C30" s="81"/>
      <c r="D30" s="81"/>
      <c r="E30" s="81"/>
      <c r="K30" s="81"/>
    </row>
    <row r="31" ht="14.25" customHeight="1">
      <c r="C31" s="81"/>
      <c r="D31" s="81"/>
      <c r="E31" s="81"/>
      <c r="K31" s="81"/>
    </row>
    <row r="32" ht="14.25" customHeight="1">
      <c r="C32" s="81"/>
      <c r="D32" s="81"/>
      <c r="E32" s="81"/>
      <c r="K32" s="81"/>
    </row>
    <row r="33" ht="14.25" customHeight="1">
      <c r="C33" s="81"/>
      <c r="D33" s="81"/>
      <c r="E33" s="81"/>
      <c r="K33" s="81"/>
    </row>
    <row r="34" ht="14.25" customHeight="1">
      <c r="C34" s="81"/>
      <c r="D34" s="81"/>
      <c r="E34" s="81"/>
      <c r="K34" s="81"/>
    </row>
    <row r="35" ht="14.25" customHeight="1">
      <c r="C35" s="81"/>
      <c r="D35" s="81"/>
      <c r="E35" s="81"/>
      <c r="K35" s="81"/>
    </row>
    <row r="36" ht="14.25" customHeight="1">
      <c r="C36" s="81"/>
      <c r="D36" s="81"/>
      <c r="E36" s="81"/>
      <c r="K36" s="81"/>
    </row>
    <row r="37" ht="14.25" customHeight="1">
      <c r="C37" s="81"/>
      <c r="D37" s="81"/>
      <c r="E37" s="81"/>
      <c r="K37" s="81"/>
    </row>
    <row r="38" ht="14.25" customHeight="1">
      <c r="C38" s="81"/>
      <c r="D38" s="81"/>
      <c r="E38" s="81"/>
      <c r="K38" s="81"/>
    </row>
    <row r="39" ht="14.25" customHeight="1">
      <c r="C39" s="81"/>
      <c r="D39" s="81"/>
      <c r="E39" s="81"/>
      <c r="K39" s="81"/>
    </row>
    <row r="40" ht="14.25" customHeight="1">
      <c r="C40" s="81"/>
      <c r="D40" s="81"/>
      <c r="E40" s="81"/>
      <c r="K40" s="81"/>
    </row>
    <row r="41" ht="14.25" customHeight="1">
      <c r="C41" s="81"/>
      <c r="D41" s="81"/>
      <c r="E41" s="81"/>
      <c r="K41" s="81"/>
    </row>
    <row r="42" ht="14.25" customHeight="1">
      <c r="C42" s="81"/>
      <c r="D42" s="81"/>
      <c r="E42" s="81"/>
      <c r="K42" s="81"/>
    </row>
    <row r="43" ht="14.25" customHeight="1">
      <c r="C43" s="81"/>
      <c r="D43" s="81"/>
      <c r="E43" s="81"/>
      <c r="K43" s="81"/>
    </row>
    <row r="44" ht="14.25" customHeight="1">
      <c r="C44" s="81"/>
      <c r="D44" s="81"/>
      <c r="E44" s="81"/>
      <c r="K44" s="81"/>
    </row>
    <row r="45" ht="14.25" customHeight="1">
      <c r="C45" s="81"/>
      <c r="D45" s="81"/>
      <c r="E45" s="81"/>
      <c r="K45" s="81"/>
    </row>
    <row r="46" ht="14.25" customHeight="1">
      <c r="C46" s="81"/>
      <c r="D46" s="81"/>
      <c r="E46" s="81"/>
      <c r="K46" s="81"/>
    </row>
    <row r="47" ht="14.25" customHeight="1">
      <c r="C47" s="81"/>
      <c r="D47" s="81"/>
      <c r="E47" s="81"/>
      <c r="K47" s="81"/>
    </row>
    <row r="48" ht="14.25" customHeight="1">
      <c r="C48" s="81"/>
      <c r="D48" s="81"/>
      <c r="E48" s="81"/>
      <c r="K48" s="81"/>
    </row>
    <row r="49" ht="14.25" customHeight="1">
      <c r="C49" s="81"/>
      <c r="D49" s="81"/>
      <c r="E49" s="81"/>
      <c r="K49" s="81"/>
    </row>
    <row r="50" ht="14.25" customHeight="1">
      <c r="C50" s="81"/>
      <c r="D50" s="81"/>
      <c r="E50" s="81"/>
      <c r="K50" s="81"/>
    </row>
    <row r="51" ht="14.25" customHeight="1">
      <c r="C51" s="81"/>
      <c r="D51" s="81"/>
      <c r="E51" s="81"/>
      <c r="K51" s="81"/>
    </row>
    <row r="52" ht="14.25" customHeight="1">
      <c r="C52" s="81"/>
      <c r="D52" s="81"/>
      <c r="E52" s="81"/>
      <c r="K52" s="81"/>
    </row>
    <row r="53" ht="14.25" customHeight="1">
      <c r="C53" s="81"/>
      <c r="D53" s="81"/>
      <c r="E53" s="81"/>
      <c r="K53" s="81"/>
    </row>
    <row r="54" ht="14.25" customHeight="1">
      <c r="C54" s="81"/>
      <c r="D54" s="81"/>
      <c r="E54" s="81"/>
      <c r="K54" s="81"/>
    </row>
    <row r="55" ht="14.25" customHeight="1">
      <c r="C55" s="81"/>
      <c r="D55" s="81"/>
      <c r="E55" s="81"/>
      <c r="K55" s="81"/>
    </row>
    <row r="56" ht="14.25" customHeight="1">
      <c r="C56" s="81"/>
      <c r="D56" s="81"/>
      <c r="E56" s="81"/>
      <c r="K56" s="81"/>
    </row>
    <row r="57" ht="14.25" customHeight="1">
      <c r="C57" s="81"/>
      <c r="D57" s="81"/>
      <c r="E57" s="81"/>
      <c r="K57" s="81"/>
    </row>
    <row r="58" ht="14.25" customHeight="1">
      <c r="C58" s="81"/>
      <c r="D58" s="81"/>
      <c r="E58" s="81"/>
      <c r="K58" s="81"/>
    </row>
    <row r="59" ht="14.25" customHeight="1">
      <c r="C59" s="81"/>
      <c r="D59" s="81"/>
      <c r="E59" s="81"/>
      <c r="K59" s="81"/>
    </row>
    <row r="60" ht="14.25" customHeight="1">
      <c r="C60" s="81"/>
      <c r="D60" s="81"/>
      <c r="E60" s="81"/>
      <c r="K60" s="81"/>
    </row>
    <row r="61" ht="14.25" customHeight="1">
      <c r="C61" s="81"/>
      <c r="D61" s="81"/>
      <c r="E61" s="81"/>
      <c r="K61" s="81"/>
    </row>
    <row r="62" ht="14.25" customHeight="1">
      <c r="C62" s="81"/>
      <c r="D62" s="81"/>
      <c r="E62" s="81"/>
      <c r="K62" s="81"/>
    </row>
    <row r="63" ht="14.25" customHeight="1">
      <c r="C63" s="81"/>
      <c r="D63" s="81"/>
      <c r="E63" s="81"/>
      <c r="K63" s="81"/>
    </row>
    <row r="64" ht="14.25" customHeight="1">
      <c r="C64" s="81"/>
      <c r="D64" s="81"/>
      <c r="E64" s="81"/>
      <c r="K64" s="81"/>
    </row>
    <row r="65" ht="14.25" customHeight="1">
      <c r="C65" s="81"/>
      <c r="D65" s="81"/>
      <c r="E65" s="81"/>
      <c r="K65" s="81"/>
    </row>
    <row r="66" ht="14.25" customHeight="1">
      <c r="C66" s="81"/>
      <c r="D66" s="81"/>
      <c r="E66" s="81"/>
      <c r="K66" s="81"/>
    </row>
    <row r="67" ht="14.25" customHeight="1">
      <c r="C67" s="81"/>
      <c r="D67" s="81"/>
      <c r="E67" s="81"/>
      <c r="K67" s="81"/>
    </row>
    <row r="68" ht="14.25" customHeight="1">
      <c r="C68" s="81"/>
      <c r="D68" s="81"/>
      <c r="E68" s="81"/>
      <c r="K68" s="81"/>
    </row>
    <row r="69" ht="14.25" customHeight="1">
      <c r="C69" s="81"/>
      <c r="D69" s="81"/>
      <c r="E69" s="81"/>
      <c r="K69" s="81"/>
    </row>
    <row r="70" ht="14.25" customHeight="1">
      <c r="C70" s="81"/>
      <c r="D70" s="81"/>
      <c r="E70" s="81"/>
      <c r="K70" s="81"/>
    </row>
    <row r="71" ht="14.25" customHeight="1">
      <c r="C71" s="81"/>
      <c r="D71" s="81"/>
      <c r="E71" s="81"/>
      <c r="K71" s="81"/>
    </row>
    <row r="72" ht="14.25" customHeight="1">
      <c r="C72" s="81"/>
      <c r="D72" s="81"/>
      <c r="E72" s="81"/>
      <c r="K72" s="81"/>
    </row>
    <row r="73" ht="14.25" customHeight="1">
      <c r="C73" s="81"/>
      <c r="D73" s="81"/>
      <c r="E73" s="81"/>
      <c r="K73" s="81"/>
    </row>
    <row r="74" ht="14.25" customHeight="1">
      <c r="C74" s="81"/>
      <c r="D74" s="81"/>
      <c r="E74" s="81"/>
      <c r="K74" s="81"/>
    </row>
    <row r="75" ht="14.25" customHeight="1">
      <c r="C75" s="81"/>
      <c r="D75" s="81"/>
      <c r="E75" s="81"/>
      <c r="K75" s="81"/>
    </row>
    <row r="76" ht="14.25" customHeight="1">
      <c r="C76" s="81"/>
      <c r="D76" s="81"/>
      <c r="E76" s="81"/>
      <c r="K76" s="81"/>
    </row>
    <row r="77" ht="14.25" customHeight="1">
      <c r="C77" s="81"/>
      <c r="D77" s="81"/>
      <c r="E77" s="81"/>
      <c r="K77" s="81"/>
    </row>
    <row r="78" ht="14.25" customHeight="1">
      <c r="C78" s="81"/>
      <c r="D78" s="81"/>
      <c r="E78" s="81"/>
      <c r="K78" s="81"/>
    </row>
    <row r="79" ht="14.25" customHeight="1">
      <c r="C79" s="81"/>
      <c r="D79" s="81"/>
      <c r="E79" s="81"/>
      <c r="K79" s="81"/>
    </row>
    <row r="80" ht="14.25" customHeight="1">
      <c r="C80" s="81"/>
      <c r="D80" s="81"/>
      <c r="E80" s="81"/>
      <c r="K80" s="81"/>
    </row>
    <row r="81" ht="14.25" customHeight="1">
      <c r="C81" s="81"/>
      <c r="D81" s="81"/>
      <c r="E81" s="81"/>
      <c r="K81" s="81"/>
    </row>
    <row r="82" ht="14.25" customHeight="1">
      <c r="C82" s="81"/>
      <c r="D82" s="81"/>
      <c r="E82" s="81"/>
      <c r="K82" s="81"/>
    </row>
    <row r="83" ht="14.25" customHeight="1">
      <c r="C83" s="81"/>
      <c r="D83" s="81"/>
      <c r="E83" s="81"/>
      <c r="K83" s="81"/>
    </row>
    <row r="84" ht="14.25" customHeight="1">
      <c r="C84" s="81"/>
      <c r="D84" s="81"/>
      <c r="E84" s="81"/>
      <c r="K84" s="81"/>
    </row>
    <row r="85" ht="14.25" customHeight="1">
      <c r="C85" s="81"/>
      <c r="D85" s="81"/>
      <c r="E85" s="81"/>
      <c r="K85" s="81"/>
    </row>
    <row r="86" ht="14.25" customHeight="1">
      <c r="C86" s="81"/>
      <c r="D86" s="81"/>
      <c r="E86" s="81"/>
      <c r="K86" s="81"/>
    </row>
    <row r="87" ht="14.25" customHeight="1">
      <c r="C87" s="81"/>
      <c r="D87" s="81"/>
      <c r="E87" s="81"/>
      <c r="K87" s="81"/>
    </row>
    <row r="88" ht="14.25" customHeight="1">
      <c r="C88" s="81"/>
      <c r="D88" s="81"/>
      <c r="E88" s="81"/>
      <c r="K88" s="81"/>
    </row>
    <row r="89" ht="14.25" customHeight="1">
      <c r="C89" s="81"/>
      <c r="D89" s="81"/>
      <c r="E89" s="81"/>
      <c r="K89" s="81"/>
    </row>
    <row r="90" ht="14.25" customHeight="1">
      <c r="C90" s="81"/>
      <c r="D90" s="81"/>
      <c r="E90" s="81"/>
      <c r="K90" s="81"/>
    </row>
    <row r="91" ht="14.25" customHeight="1">
      <c r="C91" s="81"/>
      <c r="D91" s="81"/>
      <c r="E91" s="81"/>
      <c r="K91" s="81"/>
    </row>
    <row r="92" ht="14.25" customHeight="1">
      <c r="C92" s="81"/>
      <c r="D92" s="81"/>
      <c r="E92" s="81"/>
      <c r="K92" s="81"/>
    </row>
    <row r="93" ht="14.25" customHeight="1">
      <c r="C93" s="81"/>
      <c r="D93" s="81"/>
      <c r="E93" s="81"/>
      <c r="K93" s="81"/>
    </row>
    <row r="94" ht="14.25" customHeight="1">
      <c r="C94" s="81"/>
      <c r="D94" s="81"/>
      <c r="E94" s="81"/>
      <c r="K94" s="81"/>
    </row>
    <row r="95" ht="14.25" customHeight="1">
      <c r="C95" s="81"/>
      <c r="D95" s="81"/>
      <c r="E95" s="81"/>
      <c r="K95" s="81"/>
    </row>
    <row r="96" ht="14.25" customHeight="1">
      <c r="C96" s="81"/>
      <c r="D96" s="81"/>
      <c r="E96" s="81"/>
      <c r="K96" s="81"/>
    </row>
    <row r="97" ht="14.25" customHeight="1">
      <c r="C97" s="81"/>
      <c r="D97" s="81"/>
      <c r="E97" s="81"/>
      <c r="K97" s="81"/>
    </row>
    <row r="98" ht="14.25" customHeight="1">
      <c r="C98" s="81"/>
      <c r="D98" s="81"/>
      <c r="E98" s="81"/>
      <c r="K98" s="81"/>
    </row>
    <row r="99" ht="14.25" customHeight="1">
      <c r="C99" s="81"/>
      <c r="D99" s="81"/>
      <c r="E99" s="81"/>
      <c r="K99" s="81"/>
    </row>
    <row r="100" ht="14.25" customHeight="1">
      <c r="C100" s="81"/>
      <c r="D100" s="81"/>
      <c r="E100" s="81"/>
      <c r="K100" s="81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L1"/>
    <mergeCell ref="A2:L2"/>
  </mergeCells>
  <conditionalFormatting sqref="K5:K1000">
    <cfRule type="cellIs" dxfId="0" priority="1" operator="equal">
      <formula>"Done"</formula>
    </cfRule>
  </conditionalFormatting>
  <conditionalFormatting sqref="K5:K1000">
    <cfRule type="cellIs" dxfId="0" priority="2" operator="equal">
      <formula>"Completed"</formula>
    </cfRule>
  </conditionalFormatting>
  <conditionalFormatting sqref="K5:K1000">
    <cfRule type="cellIs" dxfId="0" priority="3" operator="equal">
      <formula>"Closed"</formula>
    </cfRule>
  </conditionalFormatting>
  <conditionalFormatting sqref="K5:K1000">
    <cfRule type="cellIs" dxfId="0" priority="4" operator="equal">
      <formula>"Fixed"</formula>
    </cfRule>
  </conditionalFormatting>
  <conditionalFormatting sqref="K5:K1000">
    <cfRule type="cellIs" dxfId="0" priority="5" operator="equal">
      <formula>"Approved"</formula>
    </cfRule>
  </conditionalFormatting>
  <conditionalFormatting sqref="K5:K1000">
    <cfRule type="cellIs" dxfId="1" priority="6" operator="equal">
      <formula>"In Progress"</formula>
    </cfRule>
  </conditionalFormatting>
  <conditionalFormatting sqref="K5:K1000">
    <cfRule type="cellIs" dxfId="2" priority="7" operator="equal">
      <formula>"Open"</formula>
    </cfRule>
  </conditionalFormatting>
  <conditionalFormatting sqref="K5:K1000">
    <cfRule type="cellIs" dxfId="1" priority="8" operator="equal">
      <formula>"Pending"</formula>
    </cfRule>
  </conditionalFormatting>
  <conditionalFormatting sqref="K5:K1000">
    <cfRule type="cellIs" dxfId="2" priority="9" operator="equal">
      <formula>"Blocked"</formula>
    </cfRule>
  </conditionalFormatting>
  <conditionalFormatting sqref="K5:K1000">
    <cfRule type="cellIs" dxfId="3" priority="10" operator="equal">
      <formula>"Cancelled"</formula>
    </cfRule>
  </conditionalFormatting>
  <conditionalFormatting sqref="K5:K1000">
    <cfRule type="cellIs" dxfId="2" priority="11" operator="equal">
      <formula>"Rejected"</formula>
    </cfRule>
  </conditionalFormatting>
  <conditionalFormatting sqref="K5:K1000">
    <cfRule type="cellIs" dxfId="4" priority="12" operator="equal">
      <formula>"Submitted"</formula>
    </cfRule>
  </conditionalFormatting>
  <dataValidations>
    <dataValidation type="list" allowBlank="1" sqref="D5:E100">
      <formula1>"High,Medium,Low"</formula1>
    </dataValidation>
    <dataValidation type="list" allowBlank="1" sqref="K5:K100">
      <formula1>"Open,Mitigated,Occurred,Closed"</formula1>
    </dataValidation>
    <dataValidation type="list" allowBlank="1" sqref="C5:C100">
      <formula1>"Technical,Schedule,Resource,Scope,External,Quality,Other"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Col="1"/>
  <cols>
    <col customWidth="1" min="1" max="1" width="7.0"/>
    <col customWidth="1" min="2" max="2" width="12.0"/>
    <col customWidth="1" min="3" max="3" width="36.0"/>
    <col customWidth="1" min="4" max="4" width="14.0"/>
    <col customWidth="1" min="5" max="5" width="24.57"/>
    <col customWidth="1" min="6" max="6" width="23.86"/>
    <col customWidth="1" min="7" max="7" width="16.0"/>
    <col customWidth="1" min="8" max="8" width="18.0"/>
    <col customWidth="1" min="9" max="9" width="13.57"/>
    <col customWidth="1" min="10" max="11" width="14.0"/>
    <col customWidth="1" min="12" max="12" width="20.0"/>
    <col customWidth="1" min="13" max="26" width="8.71"/>
  </cols>
  <sheetData>
    <row r="1" ht="27.75" customHeight="1">
      <c r="A1" s="5" t="s">
        <v>929</v>
      </c>
    </row>
    <row r="2" ht="15.75" customHeight="1">
      <c r="A2" s="3" t="s">
        <v>930</v>
      </c>
    </row>
    <row r="3" ht="6.0" customHeight="1"/>
    <row r="4" ht="25.5" customHeight="1">
      <c r="A4" s="98" t="s">
        <v>7</v>
      </c>
      <c r="B4" s="98" t="s">
        <v>520</v>
      </c>
      <c r="C4" s="98" t="s">
        <v>931</v>
      </c>
      <c r="D4" s="98" t="s">
        <v>932</v>
      </c>
      <c r="E4" s="98" t="s">
        <v>933</v>
      </c>
      <c r="F4" s="98" t="s">
        <v>934</v>
      </c>
      <c r="G4" s="98" t="s">
        <v>935</v>
      </c>
      <c r="H4" s="98" t="s">
        <v>936</v>
      </c>
      <c r="I4" s="98" t="s">
        <v>40</v>
      </c>
      <c r="J4" s="98" t="s">
        <v>30</v>
      </c>
      <c r="K4" s="98" t="s">
        <v>20</v>
      </c>
      <c r="L4" s="98" t="s">
        <v>21</v>
      </c>
    </row>
    <row r="5" ht="45.75" customHeight="1">
      <c r="A5" s="99" t="s">
        <v>937</v>
      </c>
      <c r="B5" s="100">
        <v>46188.0</v>
      </c>
      <c r="C5" s="99" t="s">
        <v>938</v>
      </c>
      <c r="D5" s="99" t="s">
        <v>939</v>
      </c>
      <c r="E5" s="99" t="s">
        <v>940</v>
      </c>
      <c r="F5" s="99" t="s">
        <v>941</v>
      </c>
      <c r="G5" s="99" t="s">
        <v>942</v>
      </c>
      <c r="H5" s="99" t="s">
        <v>943</v>
      </c>
      <c r="I5" s="99" t="s">
        <v>72</v>
      </c>
      <c r="J5" s="99" t="s">
        <v>137</v>
      </c>
      <c r="K5" s="99" t="s">
        <v>944</v>
      </c>
      <c r="L5" s="99" t="s">
        <v>945</v>
      </c>
      <c r="M5" s="22"/>
      <c r="N5" s="22"/>
    </row>
    <row r="6" ht="60.75" customHeight="1">
      <c r="A6" s="25" t="s">
        <v>946</v>
      </c>
      <c r="B6" s="78">
        <v>46205.0</v>
      </c>
      <c r="C6" s="13" t="s">
        <v>947</v>
      </c>
      <c r="D6" s="25" t="s">
        <v>205</v>
      </c>
      <c r="E6" s="25" t="s">
        <v>948</v>
      </c>
      <c r="F6" s="25" t="s">
        <v>949</v>
      </c>
      <c r="G6" s="25" t="s">
        <v>950</v>
      </c>
      <c r="H6" s="25" t="s">
        <v>951</v>
      </c>
      <c r="I6" s="25" t="s">
        <v>63</v>
      </c>
      <c r="J6" s="25" t="s">
        <v>81</v>
      </c>
      <c r="K6" s="25" t="s">
        <v>944</v>
      </c>
      <c r="L6" s="25" t="s">
        <v>952</v>
      </c>
      <c r="M6" s="22"/>
      <c r="N6" s="22"/>
    </row>
    <row r="7" ht="75.0" customHeight="1">
      <c r="A7" s="99" t="s">
        <v>953</v>
      </c>
      <c r="B7" s="100">
        <v>46221.0</v>
      </c>
      <c r="C7" s="99" t="s">
        <v>954</v>
      </c>
      <c r="D7" s="99" t="s">
        <v>955</v>
      </c>
      <c r="E7" s="101" t="s">
        <v>956</v>
      </c>
      <c r="F7" s="99" t="s">
        <v>957</v>
      </c>
      <c r="G7" s="99" t="s">
        <v>958</v>
      </c>
      <c r="H7" s="99" t="s">
        <v>959</v>
      </c>
      <c r="I7" s="99" t="s">
        <v>72</v>
      </c>
      <c r="J7" s="99" t="s">
        <v>137</v>
      </c>
      <c r="K7" s="99" t="s">
        <v>944</v>
      </c>
      <c r="L7" s="99" t="s">
        <v>960</v>
      </c>
      <c r="M7" s="22"/>
      <c r="N7" s="22"/>
    </row>
    <row r="8" ht="72.0" customHeight="1">
      <c r="A8" s="25" t="s">
        <v>961</v>
      </c>
      <c r="B8" s="78">
        <v>46231.0</v>
      </c>
      <c r="C8" s="25" t="s">
        <v>962</v>
      </c>
      <c r="D8" s="25" t="s">
        <v>160</v>
      </c>
      <c r="E8" s="61" t="s">
        <v>963</v>
      </c>
      <c r="F8" s="25" t="s">
        <v>964</v>
      </c>
      <c r="G8" s="25" t="s">
        <v>965</v>
      </c>
      <c r="H8" s="25" t="s">
        <v>966</v>
      </c>
      <c r="I8" s="25" t="s">
        <v>72</v>
      </c>
      <c r="J8" s="25" t="s">
        <v>81</v>
      </c>
      <c r="K8" s="25" t="s">
        <v>944</v>
      </c>
      <c r="L8" s="25" t="s">
        <v>967</v>
      </c>
      <c r="M8" s="22"/>
      <c r="N8" s="22"/>
    </row>
    <row r="9" ht="43.5" customHeight="1">
      <c r="A9" s="99" t="s">
        <v>968</v>
      </c>
      <c r="B9" s="100">
        <v>46235.0</v>
      </c>
      <c r="C9" s="99" t="s">
        <v>969</v>
      </c>
      <c r="D9" s="99" t="s">
        <v>162</v>
      </c>
      <c r="E9" s="99" t="s">
        <v>970</v>
      </c>
      <c r="F9" s="99" t="s">
        <v>971</v>
      </c>
      <c r="G9" s="99" t="s">
        <v>972</v>
      </c>
      <c r="H9" s="99" t="s">
        <v>973</v>
      </c>
      <c r="I9" s="99" t="s">
        <v>63</v>
      </c>
      <c r="J9" s="99" t="s">
        <v>81</v>
      </c>
      <c r="K9" s="99" t="s">
        <v>944</v>
      </c>
      <c r="L9" s="99" t="s">
        <v>974</v>
      </c>
      <c r="M9" s="22"/>
      <c r="N9" s="22"/>
    </row>
    <row r="10" ht="14.25" customHeight="1">
      <c r="I10" s="81"/>
      <c r="K10" s="81"/>
    </row>
    <row r="11" ht="14.25" customHeight="1">
      <c r="I11" s="81"/>
      <c r="K11" s="81"/>
    </row>
    <row r="12" ht="14.25" customHeight="1">
      <c r="I12" s="81"/>
      <c r="K12" s="81"/>
    </row>
    <row r="13" ht="14.25" customHeight="1">
      <c r="I13" s="81"/>
      <c r="K13" s="81"/>
    </row>
    <row r="14" ht="14.25" customHeight="1">
      <c r="I14" s="81"/>
      <c r="K14" s="81"/>
    </row>
    <row r="15" ht="14.25" customHeight="1">
      <c r="I15" s="81"/>
      <c r="K15" s="81"/>
    </row>
    <row r="16" ht="14.25" customHeight="1">
      <c r="I16" s="81"/>
      <c r="K16" s="81"/>
    </row>
    <row r="17" ht="14.25" customHeight="1">
      <c r="I17" s="81"/>
      <c r="K17" s="81"/>
    </row>
    <row r="18" ht="14.25" customHeight="1">
      <c r="I18" s="81"/>
      <c r="K18" s="81"/>
    </row>
    <row r="19" ht="14.25" customHeight="1">
      <c r="I19" s="81"/>
      <c r="K19" s="81"/>
    </row>
    <row r="20" ht="14.25" customHeight="1">
      <c r="I20" s="81"/>
      <c r="K20" s="81"/>
    </row>
    <row r="21" ht="14.25" customHeight="1">
      <c r="I21" s="81"/>
      <c r="K21" s="81"/>
    </row>
    <row r="22" ht="14.25" customHeight="1">
      <c r="I22" s="81"/>
      <c r="K22" s="81"/>
    </row>
    <row r="23" ht="14.25" customHeight="1">
      <c r="I23" s="81"/>
      <c r="K23" s="81"/>
    </row>
    <row r="24" ht="14.25" customHeight="1">
      <c r="I24" s="81"/>
      <c r="K24" s="81"/>
    </row>
    <row r="25" ht="14.25" customHeight="1">
      <c r="I25" s="81"/>
      <c r="K25" s="81"/>
    </row>
    <row r="26" ht="14.25" customHeight="1">
      <c r="I26" s="81"/>
      <c r="K26" s="81"/>
    </row>
    <row r="27" ht="14.25" customHeight="1">
      <c r="I27" s="81"/>
      <c r="K27" s="81"/>
    </row>
    <row r="28" ht="14.25" customHeight="1">
      <c r="I28" s="81"/>
      <c r="K28" s="81"/>
    </row>
    <row r="29" ht="14.25" customHeight="1">
      <c r="I29" s="81"/>
      <c r="K29" s="81"/>
    </row>
    <row r="30" ht="14.25" customHeight="1">
      <c r="I30" s="81"/>
      <c r="K30" s="81"/>
    </row>
    <row r="31" ht="14.25" customHeight="1">
      <c r="I31" s="81"/>
      <c r="K31" s="81"/>
    </row>
    <row r="32" ht="14.25" customHeight="1">
      <c r="I32" s="81"/>
      <c r="K32" s="81"/>
    </row>
    <row r="33" ht="14.25" customHeight="1">
      <c r="I33" s="81"/>
      <c r="K33" s="81"/>
    </row>
    <row r="34" ht="14.25" customHeight="1">
      <c r="I34" s="81"/>
      <c r="K34" s="81"/>
    </row>
    <row r="35" ht="14.25" customHeight="1">
      <c r="I35" s="81"/>
      <c r="K35" s="81"/>
    </row>
    <row r="36" ht="14.25" customHeight="1">
      <c r="I36" s="81"/>
      <c r="K36" s="81"/>
    </row>
    <row r="37" ht="14.25" customHeight="1">
      <c r="I37" s="81"/>
      <c r="K37" s="81"/>
    </row>
    <row r="38" ht="14.25" customHeight="1">
      <c r="I38" s="81"/>
      <c r="K38" s="81"/>
    </row>
    <row r="39" ht="14.25" customHeight="1">
      <c r="I39" s="81"/>
      <c r="K39" s="81"/>
    </row>
    <row r="40" ht="14.25" customHeight="1">
      <c r="I40" s="81"/>
      <c r="K40" s="81"/>
    </row>
    <row r="41" ht="14.25" customHeight="1">
      <c r="I41" s="81"/>
      <c r="K41" s="81"/>
    </row>
    <row r="42" ht="14.25" customHeight="1">
      <c r="I42" s="81"/>
      <c r="K42" s="81"/>
    </row>
    <row r="43" ht="14.25" customHeight="1">
      <c r="I43" s="81"/>
      <c r="K43" s="81"/>
    </row>
    <row r="44" ht="14.25" customHeight="1">
      <c r="I44" s="81"/>
      <c r="K44" s="81"/>
    </row>
    <row r="45" ht="14.25" customHeight="1">
      <c r="I45" s="81"/>
      <c r="K45" s="81"/>
    </row>
    <row r="46" ht="14.25" customHeight="1">
      <c r="I46" s="81"/>
      <c r="K46" s="81"/>
    </row>
    <row r="47" ht="14.25" customHeight="1">
      <c r="I47" s="81"/>
      <c r="K47" s="81"/>
    </row>
    <row r="48" ht="14.25" customHeight="1">
      <c r="I48" s="81"/>
      <c r="K48" s="81"/>
    </row>
    <row r="49" ht="14.25" customHeight="1">
      <c r="I49" s="81"/>
      <c r="K49" s="81"/>
    </row>
    <row r="50" ht="14.25" customHeight="1">
      <c r="I50" s="81"/>
      <c r="K50" s="81"/>
    </row>
    <row r="51" ht="14.25" customHeight="1">
      <c r="I51" s="81"/>
      <c r="K51" s="81"/>
    </row>
    <row r="52" ht="14.25" customHeight="1">
      <c r="I52" s="81"/>
      <c r="K52" s="81"/>
    </row>
    <row r="53" ht="14.25" customHeight="1">
      <c r="I53" s="81"/>
      <c r="K53" s="81"/>
    </row>
    <row r="54" ht="14.25" customHeight="1">
      <c r="I54" s="81"/>
      <c r="K54" s="81"/>
    </row>
    <row r="55" ht="14.25" customHeight="1">
      <c r="I55" s="81"/>
      <c r="K55" s="81"/>
    </row>
    <row r="56" ht="14.25" customHeight="1">
      <c r="I56" s="81"/>
      <c r="K56" s="81"/>
    </row>
    <row r="57" ht="14.25" customHeight="1">
      <c r="I57" s="81"/>
      <c r="K57" s="81"/>
    </row>
    <row r="58" ht="14.25" customHeight="1">
      <c r="I58" s="81"/>
      <c r="K58" s="81"/>
    </row>
    <row r="59" ht="14.25" customHeight="1">
      <c r="I59" s="81"/>
      <c r="K59" s="81"/>
    </row>
    <row r="60" ht="14.25" customHeight="1">
      <c r="I60" s="81"/>
      <c r="K60" s="81"/>
    </row>
    <row r="61" ht="14.25" customHeight="1">
      <c r="I61" s="81"/>
      <c r="K61" s="81"/>
    </row>
    <row r="62" ht="14.25" customHeight="1">
      <c r="I62" s="81"/>
      <c r="K62" s="81"/>
    </row>
    <row r="63" ht="14.25" customHeight="1">
      <c r="I63" s="81"/>
      <c r="K63" s="81"/>
    </row>
    <row r="64" ht="14.25" customHeight="1">
      <c r="I64" s="81"/>
      <c r="K64" s="81"/>
    </row>
    <row r="65" ht="14.25" customHeight="1">
      <c r="I65" s="81"/>
      <c r="K65" s="81"/>
    </row>
    <row r="66" ht="14.25" customHeight="1">
      <c r="I66" s="81"/>
      <c r="K66" s="81"/>
    </row>
    <row r="67" ht="14.25" customHeight="1">
      <c r="I67" s="81"/>
      <c r="K67" s="81"/>
    </row>
    <row r="68" ht="14.25" customHeight="1">
      <c r="I68" s="81"/>
      <c r="K68" s="81"/>
    </row>
    <row r="69" ht="14.25" customHeight="1">
      <c r="I69" s="81"/>
      <c r="K69" s="81"/>
    </row>
    <row r="70" ht="14.25" customHeight="1">
      <c r="I70" s="81"/>
      <c r="K70" s="81"/>
    </row>
    <row r="71" ht="14.25" customHeight="1">
      <c r="I71" s="81"/>
      <c r="K71" s="81"/>
    </row>
    <row r="72" ht="14.25" customHeight="1">
      <c r="I72" s="81"/>
      <c r="K72" s="81"/>
    </row>
    <row r="73" ht="14.25" customHeight="1">
      <c r="I73" s="81"/>
      <c r="K73" s="81"/>
    </row>
    <row r="74" ht="14.25" customHeight="1">
      <c r="I74" s="81"/>
      <c r="K74" s="81"/>
    </row>
    <row r="75" ht="14.25" customHeight="1">
      <c r="I75" s="81"/>
      <c r="K75" s="81"/>
    </row>
    <row r="76" ht="14.25" customHeight="1">
      <c r="I76" s="81"/>
      <c r="K76" s="81"/>
    </row>
    <row r="77" ht="14.25" customHeight="1">
      <c r="I77" s="81"/>
      <c r="K77" s="81"/>
    </row>
    <row r="78" ht="14.25" customHeight="1">
      <c r="I78" s="81"/>
      <c r="K78" s="81"/>
    </row>
    <row r="79" ht="14.25" customHeight="1">
      <c r="I79" s="81"/>
      <c r="K79" s="81"/>
    </row>
    <row r="80" ht="14.25" customHeight="1">
      <c r="I80" s="81"/>
      <c r="K80" s="81"/>
    </row>
    <row r="81" ht="14.25" customHeight="1">
      <c r="I81" s="81"/>
      <c r="K81" s="81"/>
    </row>
    <row r="82" ht="14.25" customHeight="1">
      <c r="I82" s="81"/>
      <c r="K82" s="81"/>
    </row>
    <row r="83" ht="14.25" customHeight="1">
      <c r="I83" s="81"/>
      <c r="K83" s="81"/>
    </row>
    <row r="84" ht="14.25" customHeight="1">
      <c r="I84" s="81"/>
      <c r="K84" s="81"/>
    </row>
    <row r="85" ht="14.25" customHeight="1">
      <c r="I85" s="81"/>
      <c r="K85" s="81"/>
    </row>
    <row r="86" ht="14.25" customHeight="1">
      <c r="I86" s="81"/>
      <c r="K86" s="81"/>
    </row>
    <row r="87" ht="14.25" customHeight="1">
      <c r="I87" s="81"/>
      <c r="K87" s="81"/>
    </row>
    <row r="88" ht="14.25" customHeight="1">
      <c r="I88" s="81"/>
      <c r="K88" s="81"/>
    </row>
    <row r="89" ht="14.25" customHeight="1">
      <c r="I89" s="81"/>
      <c r="K89" s="81"/>
    </row>
    <row r="90" ht="14.25" customHeight="1">
      <c r="I90" s="81"/>
      <c r="K90" s="81"/>
    </row>
    <row r="91" ht="14.25" customHeight="1">
      <c r="I91" s="81"/>
      <c r="K91" s="81"/>
    </row>
    <row r="92" ht="14.25" customHeight="1">
      <c r="I92" s="81"/>
      <c r="K92" s="81"/>
    </row>
    <row r="93" ht="14.25" customHeight="1">
      <c r="I93" s="81"/>
      <c r="K93" s="81"/>
    </row>
    <row r="94" ht="14.25" customHeight="1">
      <c r="I94" s="81"/>
      <c r="K94" s="81"/>
    </row>
    <row r="95" ht="14.25" customHeight="1">
      <c r="I95" s="81"/>
      <c r="K95" s="81"/>
    </row>
    <row r="96" ht="14.25" customHeight="1">
      <c r="I96" s="81"/>
      <c r="K96" s="81"/>
    </row>
    <row r="97" ht="14.25" customHeight="1">
      <c r="I97" s="81"/>
      <c r="K97" s="81"/>
    </row>
    <row r="98" ht="14.25" customHeight="1">
      <c r="I98" s="81"/>
      <c r="K98" s="81"/>
    </row>
    <row r="99" ht="14.25" customHeight="1">
      <c r="I99" s="81"/>
      <c r="K99" s="81"/>
    </row>
    <row r="100" ht="14.25" customHeight="1">
      <c r="I100" s="81"/>
      <c r="K100" s="81"/>
    </row>
    <row r="101" ht="14.25" customHeight="1">
      <c r="I101" s="81"/>
      <c r="K101" s="81"/>
    </row>
    <row r="102" ht="14.25" customHeight="1">
      <c r="I102" s="81"/>
      <c r="K102" s="81"/>
    </row>
    <row r="103" ht="14.25" customHeight="1">
      <c r="I103" s="81"/>
      <c r="K103" s="81"/>
    </row>
    <row r="104" ht="14.25" customHeight="1">
      <c r="I104" s="81"/>
      <c r="K104" s="81"/>
    </row>
    <row r="105" ht="14.25" customHeight="1">
      <c r="I105" s="81"/>
      <c r="K105" s="81"/>
    </row>
    <row r="106" ht="14.25" customHeight="1">
      <c r="I106" s="81"/>
      <c r="K106" s="81"/>
    </row>
    <row r="107" ht="14.25" customHeight="1">
      <c r="I107" s="81"/>
      <c r="K107" s="81"/>
    </row>
    <row r="108" ht="14.25" customHeight="1">
      <c r="I108" s="81"/>
      <c r="K108" s="81"/>
    </row>
    <row r="109" ht="14.25" customHeight="1">
      <c r="I109" s="81"/>
      <c r="K109" s="81"/>
    </row>
    <row r="110" ht="14.25" customHeight="1">
      <c r="I110" s="81"/>
      <c r="K110" s="81"/>
    </row>
    <row r="111" ht="14.25" customHeight="1">
      <c r="I111" s="81"/>
      <c r="K111" s="81"/>
    </row>
    <row r="112" ht="14.25" customHeight="1">
      <c r="I112" s="81"/>
      <c r="K112" s="81"/>
    </row>
    <row r="113" ht="14.25" customHeight="1">
      <c r="I113" s="81"/>
      <c r="K113" s="81"/>
    </row>
    <row r="114" ht="14.25" customHeight="1">
      <c r="I114" s="81"/>
      <c r="K114" s="81"/>
    </row>
    <row r="115" ht="14.25" customHeight="1">
      <c r="I115" s="81"/>
      <c r="K115" s="81"/>
    </row>
    <row r="116" ht="14.25" customHeight="1">
      <c r="I116" s="81"/>
      <c r="K116" s="81"/>
    </row>
    <row r="117" ht="14.25" customHeight="1">
      <c r="I117" s="81"/>
      <c r="K117" s="81"/>
    </row>
    <row r="118" ht="14.25" customHeight="1">
      <c r="I118" s="81"/>
      <c r="K118" s="81"/>
    </row>
    <row r="119" ht="14.25" customHeight="1">
      <c r="I119" s="81"/>
      <c r="K119" s="81"/>
    </row>
    <row r="120" ht="14.25" customHeight="1">
      <c r="I120" s="81"/>
      <c r="K120" s="81"/>
    </row>
    <row r="121" ht="14.25" customHeight="1">
      <c r="I121" s="81"/>
      <c r="K121" s="81"/>
    </row>
    <row r="122" ht="14.25" customHeight="1">
      <c r="I122" s="81"/>
      <c r="K122" s="81"/>
    </row>
    <row r="123" ht="14.25" customHeight="1">
      <c r="I123" s="81"/>
      <c r="K123" s="81"/>
    </row>
    <row r="124" ht="14.25" customHeight="1">
      <c r="I124" s="81"/>
      <c r="K124" s="81"/>
    </row>
    <row r="125" ht="14.25" customHeight="1">
      <c r="I125" s="81"/>
      <c r="K125" s="81"/>
    </row>
    <row r="126" ht="14.25" customHeight="1">
      <c r="I126" s="81"/>
      <c r="K126" s="81"/>
    </row>
    <row r="127" ht="14.25" customHeight="1">
      <c r="I127" s="81"/>
      <c r="K127" s="81"/>
    </row>
    <row r="128" ht="14.25" customHeight="1">
      <c r="I128" s="81"/>
      <c r="K128" s="81"/>
    </row>
    <row r="129" ht="14.25" customHeight="1">
      <c r="I129" s="81"/>
      <c r="K129" s="81"/>
    </row>
    <row r="130" ht="14.25" customHeight="1">
      <c r="I130" s="81"/>
      <c r="K130" s="81"/>
    </row>
    <row r="131" ht="14.25" customHeight="1">
      <c r="I131" s="81"/>
      <c r="K131" s="81"/>
    </row>
    <row r="132" ht="14.25" customHeight="1">
      <c r="I132" s="81"/>
      <c r="K132" s="81"/>
    </row>
    <row r="133" ht="14.25" customHeight="1">
      <c r="I133" s="81"/>
      <c r="K133" s="81"/>
    </row>
    <row r="134" ht="14.25" customHeight="1">
      <c r="I134" s="81"/>
      <c r="K134" s="81"/>
    </row>
    <row r="135" ht="14.25" customHeight="1">
      <c r="I135" s="81"/>
      <c r="K135" s="81"/>
    </row>
    <row r="136" ht="14.25" customHeight="1">
      <c r="I136" s="81"/>
      <c r="K136" s="81"/>
    </row>
    <row r="137" ht="14.25" customHeight="1">
      <c r="I137" s="81"/>
      <c r="K137" s="81"/>
    </row>
    <row r="138" ht="14.25" customHeight="1">
      <c r="I138" s="81"/>
      <c r="K138" s="81"/>
    </row>
    <row r="139" ht="14.25" customHeight="1">
      <c r="I139" s="81"/>
      <c r="K139" s="81"/>
    </row>
    <row r="140" ht="14.25" customHeight="1">
      <c r="I140" s="81"/>
      <c r="K140" s="81"/>
    </row>
    <row r="141" ht="14.25" customHeight="1">
      <c r="I141" s="81"/>
      <c r="K141" s="81"/>
    </row>
    <row r="142" ht="14.25" customHeight="1">
      <c r="I142" s="81"/>
      <c r="K142" s="81"/>
    </row>
    <row r="143" ht="14.25" customHeight="1">
      <c r="I143" s="81"/>
      <c r="K143" s="81"/>
    </row>
    <row r="144" ht="14.25" customHeight="1">
      <c r="I144" s="81"/>
      <c r="K144" s="81"/>
    </row>
    <row r="145" ht="14.25" customHeight="1">
      <c r="I145" s="81"/>
      <c r="K145" s="81"/>
    </row>
    <row r="146" ht="14.25" customHeight="1">
      <c r="I146" s="81"/>
      <c r="K146" s="81"/>
    </row>
    <row r="147" ht="14.25" customHeight="1">
      <c r="I147" s="81"/>
      <c r="K147" s="81"/>
    </row>
    <row r="148" ht="14.25" customHeight="1">
      <c r="I148" s="81"/>
      <c r="K148" s="81"/>
    </row>
    <row r="149" ht="14.25" customHeight="1">
      <c r="I149" s="81"/>
      <c r="K149" s="81"/>
    </row>
    <row r="150" ht="14.25" customHeight="1">
      <c r="I150" s="81"/>
      <c r="K150" s="81"/>
    </row>
    <row r="151" ht="14.25" customHeight="1">
      <c r="I151" s="81"/>
      <c r="K151" s="81"/>
    </row>
    <row r="152" ht="14.25" customHeight="1">
      <c r="I152" s="81"/>
      <c r="K152" s="81"/>
    </row>
    <row r="153" ht="14.25" customHeight="1">
      <c r="I153" s="81"/>
      <c r="K153" s="81"/>
    </row>
    <row r="154" ht="14.25" customHeight="1">
      <c r="I154" s="81"/>
      <c r="K154" s="81"/>
    </row>
    <row r="155" ht="14.25" customHeight="1">
      <c r="I155" s="81"/>
      <c r="K155" s="81"/>
    </row>
    <row r="156" ht="14.25" customHeight="1">
      <c r="I156" s="81"/>
      <c r="K156" s="81"/>
    </row>
    <row r="157" ht="14.25" customHeight="1">
      <c r="I157" s="81"/>
      <c r="K157" s="81"/>
    </row>
    <row r="158" ht="14.25" customHeight="1">
      <c r="I158" s="81"/>
      <c r="K158" s="81"/>
    </row>
    <row r="159" ht="14.25" customHeight="1">
      <c r="I159" s="81"/>
      <c r="K159" s="81"/>
    </row>
    <row r="160" ht="14.25" customHeight="1">
      <c r="I160" s="81"/>
      <c r="K160" s="81"/>
    </row>
    <row r="161" ht="14.25" customHeight="1">
      <c r="I161" s="81"/>
      <c r="K161" s="81"/>
    </row>
    <row r="162" ht="14.25" customHeight="1">
      <c r="I162" s="81"/>
      <c r="K162" s="81"/>
    </row>
    <row r="163" ht="14.25" customHeight="1">
      <c r="I163" s="81"/>
      <c r="K163" s="81"/>
    </row>
    <row r="164" ht="14.25" customHeight="1">
      <c r="I164" s="81"/>
      <c r="K164" s="81"/>
    </row>
    <row r="165" ht="14.25" customHeight="1">
      <c r="I165" s="81"/>
      <c r="K165" s="81"/>
    </row>
    <row r="166" ht="14.25" customHeight="1">
      <c r="I166" s="81"/>
      <c r="K166" s="81"/>
    </row>
    <row r="167" ht="14.25" customHeight="1">
      <c r="I167" s="81"/>
      <c r="K167" s="81"/>
    </row>
    <row r="168" ht="14.25" customHeight="1">
      <c r="I168" s="81"/>
      <c r="K168" s="81"/>
    </row>
    <row r="169" ht="14.25" customHeight="1">
      <c r="I169" s="81"/>
      <c r="K169" s="81"/>
    </row>
    <row r="170" ht="14.25" customHeight="1">
      <c r="I170" s="81"/>
      <c r="K170" s="81"/>
    </row>
    <row r="171" ht="14.25" customHeight="1">
      <c r="I171" s="81"/>
      <c r="K171" s="81"/>
    </row>
    <row r="172" ht="14.25" customHeight="1">
      <c r="I172" s="81"/>
      <c r="K172" s="81"/>
    </row>
    <row r="173" ht="14.25" customHeight="1">
      <c r="I173" s="81"/>
      <c r="K173" s="81"/>
    </row>
    <row r="174" ht="14.25" customHeight="1">
      <c r="I174" s="81"/>
      <c r="K174" s="81"/>
    </row>
    <row r="175" ht="14.25" customHeight="1">
      <c r="I175" s="81"/>
      <c r="K175" s="81"/>
    </row>
    <row r="176" ht="14.25" customHeight="1">
      <c r="I176" s="81"/>
      <c r="K176" s="81"/>
    </row>
    <row r="177" ht="14.25" customHeight="1">
      <c r="I177" s="81"/>
      <c r="K177" s="81"/>
    </row>
    <row r="178" ht="14.25" customHeight="1">
      <c r="I178" s="81"/>
      <c r="K178" s="81"/>
    </row>
    <row r="179" ht="14.25" customHeight="1">
      <c r="I179" s="81"/>
      <c r="K179" s="81"/>
    </row>
    <row r="180" ht="14.25" customHeight="1">
      <c r="I180" s="81"/>
      <c r="K180" s="81"/>
    </row>
    <row r="181" ht="14.25" customHeight="1">
      <c r="I181" s="81"/>
      <c r="K181" s="81"/>
    </row>
    <row r="182" ht="14.25" customHeight="1">
      <c r="I182" s="81"/>
      <c r="K182" s="81"/>
    </row>
    <row r="183" ht="14.25" customHeight="1">
      <c r="I183" s="81"/>
      <c r="K183" s="81"/>
    </row>
    <row r="184" ht="14.25" customHeight="1">
      <c r="I184" s="81"/>
      <c r="K184" s="81"/>
    </row>
    <row r="185" ht="14.25" customHeight="1">
      <c r="I185" s="81"/>
      <c r="K185" s="81"/>
    </row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</sheetData>
  <mergeCells count="2">
    <mergeCell ref="A1:L1"/>
    <mergeCell ref="A2:L2"/>
  </mergeCells>
  <conditionalFormatting sqref="I5:I985">
    <cfRule type="cellIs" dxfId="2" priority="1" operator="equal">
      <formula>"Critical"</formula>
    </cfRule>
  </conditionalFormatting>
  <conditionalFormatting sqref="I5:I985">
    <cfRule type="cellIs" dxfId="2" priority="2" operator="equal">
      <formula>"High"</formula>
    </cfRule>
  </conditionalFormatting>
  <conditionalFormatting sqref="I5:I985">
    <cfRule type="cellIs" dxfId="1" priority="3" operator="equal">
      <formula>"Medium"</formula>
    </cfRule>
  </conditionalFormatting>
  <conditionalFormatting sqref="I5:I985">
    <cfRule type="cellIs" dxfId="0" priority="4" operator="equal">
      <formula>"Low"</formula>
    </cfRule>
  </conditionalFormatting>
  <conditionalFormatting sqref="K5:K985">
    <cfRule type="cellIs" dxfId="0" priority="5" operator="equal">
      <formula>"Done"</formula>
    </cfRule>
  </conditionalFormatting>
  <conditionalFormatting sqref="K5:K985">
    <cfRule type="cellIs" dxfId="0" priority="6" operator="equal">
      <formula>"Completed"</formula>
    </cfRule>
  </conditionalFormatting>
  <conditionalFormatting sqref="K5:K985">
    <cfRule type="cellIs" dxfId="0" priority="7" operator="equal">
      <formula>"Closed"</formula>
    </cfRule>
  </conditionalFormatting>
  <conditionalFormatting sqref="K5:K985">
    <cfRule type="cellIs" dxfId="0" priority="8" operator="equal">
      <formula>"Fixed"</formula>
    </cfRule>
  </conditionalFormatting>
  <conditionalFormatting sqref="K5:K985">
    <cfRule type="cellIs" dxfId="0" priority="9" operator="equal">
      <formula>"Approved"</formula>
    </cfRule>
  </conditionalFormatting>
  <conditionalFormatting sqref="K5:K985">
    <cfRule type="cellIs" dxfId="1" priority="10" operator="equal">
      <formula>"In Progress"</formula>
    </cfRule>
  </conditionalFormatting>
  <conditionalFormatting sqref="K5:K985">
    <cfRule type="cellIs" dxfId="2" priority="11" operator="equal">
      <formula>"Open"</formula>
    </cfRule>
  </conditionalFormatting>
  <conditionalFormatting sqref="K5:K985">
    <cfRule type="cellIs" dxfId="1" priority="12" operator="equal">
      <formula>"Pending"</formula>
    </cfRule>
  </conditionalFormatting>
  <conditionalFormatting sqref="K5:K985">
    <cfRule type="cellIs" dxfId="2" priority="13" operator="equal">
      <formula>"Blocked"</formula>
    </cfRule>
  </conditionalFormatting>
  <conditionalFormatting sqref="K5:K985">
    <cfRule type="cellIs" dxfId="3" priority="14" operator="equal">
      <formula>"Cancelled"</formula>
    </cfRule>
  </conditionalFormatting>
  <conditionalFormatting sqref="K5:K985">
    <cfRule type="cellIs" dxfId="2" priority="15" operator="equal">
      <formula>"Rejected"</formula>
    </cfRule>
  </conditionalFormatting>
  <conditionalFormatting sqref="K5:K985">
    <cfRule type="cellIs" dxfId="4" priority="16" operator="equal">
      <formula>"Submitted"</formula>
    </cfRule>
  </conditionalFormatting>
  <dataValidations>
    <dataValidation type="list" allowBlank="1" sqref="K5:K185">
      <formula1>"Pending,Approved,Rejected,Deferred,Implemented"</formula1>
    </dataValidation>
    <dataValidation type="list" allowBlank="1" sqref="I5:I185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